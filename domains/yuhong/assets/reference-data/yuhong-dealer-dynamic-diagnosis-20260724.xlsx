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 tabRatio="525" activeTab="1"/>
  </bookViews>
  <sheets>
    <sheet name="填写说明" sheetId="1" r:id="rId1"/>
    <sheet name="动态诊断表" sheetId="2" r:id="rId2"/>
    <sheet name="数据底稿1" sheetId="3" state="hidden" r:id="rId3"/>
    <sheet name="数据底稿2" sheetId="4" state="hidden" r:id="rId4"/>
    <sheet name="数据底稿3" sheetId="5" state="hidden" r:id="rId5"/>
  </sheets>
  <externalReferences>
    <externalReference r:id="rId7"/>
  </externalReferences>
  <definedNames>
    <definedName name="_xlnm._FilterDatabase" localSheetId="2" hidden="1">数据底稿1!$A$4:$Z$193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<sst xmlns="http://schemas.openxmlformats.org/spreadsheetml/2006/main" count="3934" uniqueCount="952">
  <si>
    <t>经销商生意健康度诊断 - 定量指标填写指南</t>
  </si>
  <si>
    <t>致各位合作伙伴：
为确保本次生意健康度诊断的公平、公正与准确，请您在填写各项数据时，严格参考以下指标的统计口径、单位与说明</t>
  </si>
  <si>
    <t>维度</t>
  </si>
  <si>
    <t>指标名称</t>
  </si>
  <si>
    <t>单位</t>
  </si>
  <si>
    <t>计算公式 / 统计口径</t>
  </si>
  <si>
    <t>填写须知</t>
  </si>
  <si>
    <t>业绩</t>
  </si>
  <si>
    <t>合同达成率</t>
  </si>
  <si>
    <t>%</t>
  </si>
  <si>
    <t>合同达成率=本年度实际销售额 ÷ 本年度合同任务额</t>
  </si>
  <si>
    <t>按百分比填写，保留1位小数。</t>
  </si>
  <si>
    <t>销售增长率</t>
  </si>
  <si>
    <t>销售增长率 =（本年度实际销售额 − 上年度实际销售额）÷ 上年度实际销售额</t>
  </si>
  <si>
    <t>同上。</t>
  </si>
  <si>
    <t>分销</t>
  </si>
  <si>
    <t>网点数量</t>
  </si>
  <si>
    <t>个</t>
  </si>
  <si>
    <t>过去12个月内，与贵公司有过至少一次交易记录的下游门店、分销商总数</t>
  </si>
  <si>
    <t>填整数，单位个。</t>
  </si>
  <si>
    <t>核心店占比</t>
  </si>
  <si>
    <t>核心店占比=核心门店数 ÷ 网点数量 × 100%</t>
  </si>
  <si>
    <t>核心店包括核心形象店和核心分销店
请填写最终比例值，填写范围0～1，按百分比填写，保留1位小数。</t>
  </si>
  <si>
    <t>单店产出</t>
  </si>
  <si>
    <t>万元</t>
  </si>
  <si>
    <t>单店产出=全年雨虹分销渠道总销售额 ÷ 网点数量</t>
  </si>
  <si>
    <t>销售额按雨虹业务口径。保留1位小数。</t>
  </si>
  <si>
    <t>有效门店占比</t>
  </si>
  <si>
    <t>有效门店占比=(有效门店数 ÷ 网点数量) × 100%</t>
  </si>
  <si>
    <t>有效门店：指三个月内存在拜访记录，陈列合格上报的门店
请填写最终比例值，填写范围0～1，按百分比填写，保留1位小数。</t>
  </si>
  <si>
    <t>人均服务网点数</t>
  </si>
  <si>
    <t>个/人</t>
  </si>
  <si>
    <t>人均服务网点数=网点数量 ÷ (自有销售人员数量 × 雨虹销售额占比 + 虹销员数量)</t>
  </si>
  <si>
    <t>自有销售人员数量需按雨虹销售额占比折算（参见自有人员数量指标说明）；虹销员不需折算。</t>
  </si>
  <si>
    <t>自有人员数量</t>
  </si>
  <si>
    <t>人</t>
  </si>
  <si>
    <t>由贵公司全职聘用、发放薪酬，且主要职责为销售的人员数量。若同时经营多品牌，后续指标计算时将按雨虹销售额占比折算</t>
  </si>
  <si>
    <t>不包括仓管、物流等非销售岗。虹销员不计入此项。
多品牌经营者：请如实填写自有销售人员总数，指标计算时将以「雨虹业务销售额 ÷ 总销售额」占比进行折算，消除多品牌经营导致的评分偏差。</t>
  </si>
  <si>
    <t>人效</t>
  </si>
  <si>
    <t>万元/人</t>
  </si>
  <si>
    <t>人效=全年雨虹业务总销售额 ÷ (自有销售人员数量 × 雨虹销售额占比 + 虹销员数量)</t>
  </si>
  <si>
    <t>分子：全年雨虹业务总销售额（非总销售额），按雨虹口径。
分母：自有销售人员数量需按雨虹销售额占比折算；虹销员不需折算。保留1位小数。</t>
  </si>
  <si>
    <t>乡镇覆盖率</t>
  </si>
  <si>
    <t>乡镇覆盖率=(已覆盖的乡镇/街道数量 ÷ 授权区域内乡镇/街道总数)× 100%</t>
  </si>
  <si>
    <t>零售</t>
  </si>
  <si>
    <t>会员数量</t>
  </si>
  <si>
    <t>在会员系统正式注册的工长/师傅数量</t>
  </si>
  <si>
    <t>/</t>
  </si>
  <si>
    <t>会员人均产出</t>
  </si>
  <si>
    <t>会员人均产出=全年雨虹零售渠道总销售额 ÷ 会员数量</t>
  </si>
  <si>
    <t>销售额按雨虹零售渠道口径。保留2位小数。</t>
  </si>
  <si>
    <t>渠道结构</t>
  </si>
  <si>
    <t>渠道均衡发展</t>
  </si>
  <si>
    <t>贵公司目前重点经营的渠道数量</t>
  </si>
  <si>
    <t>例如，同时经营分销、零售、家装，则填写“3”。</t>
  </si>
  <si>
    <t>品类结构</t>
  </si>
  <si>
    <t>品类均衡发展</t>
  </si>
  <si>
    <t>贵公司目前稳定经营的雨虹品类数量</t>
  </si>
  <si>
    <t>品类包括防水、砂浆、美缝、胶业、卷材、辅材。</t>
  </si>
  <si>
    <t>公司运营</t>
  </si>
  <si>
    <t>坪效</t>
  </si>
  <si>
    <t>万元/平方米</t>
  </si>
  <si>
    <t>坪效=全年雨虹业务总销售额 ÷ 仓库中专门用于存储雨虹产品的面积</t>
  </si>
  <si>
    <t>仓库面积严格按雨虹产品实际存储面积计算，不含其他品牌产品存放区域。若仓库为多品牌共用，请按雨虹产品实际占用面积填写。保留2位小数。</t>
  </si>
  <si>
    <t>分销会次数</t>
  </si>
  <si>
    <t>次</t>
  </si>
  <si>
    <t>过去12个月内，由贵公司主导组织的面向下游分销商的会议总次数</t>
  </si>
  <si>
    <t>专业人士会议次数</t>
  </si>
  <si>
    <t>过去12个月内，由贵公司主导组织的面向工长/设计师等专业人士的会议总次数</t>
  </si>
  <si>
    <t>例如瓦工会、油工会、设计师沙龙等。</t>
  </si>
  <si>
    <t>数字化水平</t>
  </si>
  <si>
    <t>等级（a/b/c/d)</t>
  </si>
  <si>
    <t>请根据标准，选择最符合贵公司现状的等级</t>
  </si>
  <si>
    <t>a.仅拥有进销存数字化系统水平；
b.能够进行数据分析水平；
c.具有数字化指标洞察水平；
d.尚未采用数字化系统</t>
  </si>
  <si>
    <t>意愿度</t>
  </si>
  <si>
    <t>活动参与度</t>
  </si>
  <si>
    <t>等级（a/b/c)</t>
  </si>
  <si>
    <t>a：积极参与品牌方（YH）日常会议、培训、活动，并表现突出
b：参与品牌方（YH）日常会议、培训、活动，较少存在请假、早退等情况
c：基本不参与品牌方（YH）日常会议、培训、活动</t>
  </si>
  <si>
    <t>经营意愿</t>
  </si>
  <si>
    <t>a：对于YH品牌存在巨大经营信心，积极与品牌方（YH）互动沟通，每周不少于1次同品牌方（YH）开展经营沟通，愿意配合品牌方（YH）积极开展市场活动，并投入人力物力等资源开展经营
b：对于YH品牌存在经营信心，较为配合执行品牌方（YH）市场活动政策
c：计划放弃经营YH品牌（指经销商解约），不配合品牌方（YH）日常管理，不协助品牌方（YH）执行市场活动政策</t>
  </si>
  <si>
    <t>文化认知度</t>
  </si>
  <si>
    <t>a：对于东方雨虹企业文化存在清晰认知，认同东方雨虹企业文化，并在日常市场经营活动中积极践行
b：清楚了解东方雨虹企业文化，对于东方雨虹企业文化存在认同
c：不清楚东方雨虹企业文化，不认同东方雨虹企业文化</t>
  </si>
  <si>
    <t>附加分指标计算口径说明</t>
  </si>
  <si>
    <t>网点覆盖率</t>
  </si>
  <si>
    <t>网点覆盖率 = 实际覆盖网点数 ÷ 区域内目标网点总数</t>
  </si>
  <si>
    <t>填小数，如覆盖率90%填 0.9，无需保留小数</t>
  </si>
  <si>
    <t>网点活跃度</t>
  </si>
  <si>
    <t>网点活跃度 = 近3个月内有进货记录的网点数 ÷ 网点总数</t>
  </si>
  <si>
    <t>填小数，如活跃度45%填 0.45，无需保留小数</t>
  </si>
  <si>
    <t>会员活跃率</t>
  </si>
  <si>
    <t>会员活跃率 = 近3个月内有消费记录的会员数 ÷ 会员总数</t>
  </si>
  <si>
    <t>填小数，如活跃率30%填 0.3，无需保留小数</t>
  </si>
  <si>
    <t>家装</t>
  </si>
  <si>
    <t>家装销售占比</t>
  </si>
  <si>
    <t>家装销售占比 = 全年家装渠道总销售额 ÷ 全年所有渠道总销售额</t>
  </si>
  <si>
    <t>填小数，如占比2.70%填 0.027，保留2位小数</t>
  </si>
  <si>
    <t>月均家装订单数</t>
  </si>
  <si>
    <t>户</t>
  </si>
  <si>
    <t>月均家装订单数 = 全年家装渠道订单总数 ÷ 12</t>
  </si>
  <si>
    <t>填整数，计算结果有小数四舍五入</t>
  </si>
  <si>
    <t>家装公司产出/月</t>
  </si>
  <si>
    <t>元</t>
  </si>
  <si>
    <t>单家家装公司月均产出 = 全年家装渠道总销售额 ÷ 合作家装公司总数 ÷ 12</t>
  </si>
  <si>
    <t>填整数，单位为元</t>
  </si>
  <si>
    <t>服务</t>
  </si>
  <si>
    <t>工单转化率</t>
  </si>
  <si>
    <t>单</t>
  </si>
  <si>
    <t>工单转化率 = 已转化工单数 ÷ 总工单数 × 100%</t>
  </si>
  <si>
    <t>填小数，如转化率45%填 0.45，无需保留小数</t>
  </si>
  <si>
    <t>月均工单数量</t>
  </si>
  <si>
    <t>月均工单数量 = 全年服务业务总工单数 ÷ 12</t>
  </si>
  <si>
    <t>公司维度</t>
  </si>
  <si>
    <t>万/人</t>
  </si>
  <si>
    <t>人效 = 全年总销售额 ÷（自有销售人员数量 + 虹销员数量）</t>
  </si>
  <si>
    <t>填数值，单位万元/人，保留2位小数</t>
  </si>
  <si>
    <t>区域外部市场分析指标填写说明</t>
  </si>
  <si>
    <t>区域市场竞争格局诊断</t>
  </si>
  <si>
    <t>雨虹年度销售额</t>
  </si>
  <si>
    <t>本区域雨虹品牌全渠道全年实际销售额</t>
  </si>
  <si>
    <t>填整数，单位万元</t>
  </si>
  <si>
    <t>各竞品年度销售额</t>
  </si>
  <si>
    <t>德高、立邦及其他主要竞品在本区域的年度预估销售额</t>
  </si>
  <si>
    <t>填整数，单位万元，不清楚可填估算值，无竞品留空即可</t>
  </si>
  <si>
    <t>我方市占率</t>
  </si>
  <si>
    <t>我方市占率 = 雨虹年度销售额 ÷ 所有品牌销售额合计 × 100%</t>
  </si>
  <si>
    <t>自动计算，无需填写，请勿修改此单元格</t>
  </si>
  <si>
    <t>最大竞品市占率</t>
  </si>
  <si>
    <t>最大竞品市占率 = 竞品中最高销售额 ÷ 所有品牌销售额合计 × 100%</t>
  </si>
  <si>
    <t>我方vs最大竞品倍率</t>
  </si>
  <si>
    <t>倍</t>
  </si>
  <si>
    <t>我方vs最大竞品倍率 = 雨虹年度销售额 ÷ 最大竞品年度销售额</t>
  </si>
  <si>
    <t>市场容量与份额分析</t>
  </si>
  <si>
    <t>城区人口</t>
  </si>
  <si>
    <t>万人</t>
  </si>
  <si>
    <t>经销商授权经营区域的城区常住人口数量</t>
  </si>
  <si>
    <t>可从当地统计局公开数据获取，或由区域经理填写。填整数，单位万人。</t>
  </si>
  <si>
    <t>户均居住面积</t>
  </si>
  <si>
    <t>m²/户</t>
  </si>
  <si>
    <t>经销商所在城市/区域的户均住房建筑面积</t>
  </si>
  <si>
    <t>可从当地住建部门公开数据获取，或使用默认值90m²。填整数。</t>
  </si>
  <si>
    <t>户均人口</t>
  </si>
  <si>
    <t>人/户</t>
  </si>
  <si>
    <t>经销商所在城市/区域的户均人口数</t>
  </si>
  <si>
    <t>可从当地统计局公开数据获取，或使用默认值3.0。保留1位小数。</t>
  </si>
  <si>
    <t>品类单价</t>
  </si>
  <si>
    <t>元/m²</t>
  </si>
  <si>
    <t>该品类在所在区域市场的每平方材料单价。
总体单价 = 防水+砂浆+美缝+卷材+墙辅+胶业+管业各品类单价的加总。</t>
  </si>
  <si>
    <t>建议根据所在区域实际情况，结合该品类适用的房屋面积比重，综合测算品类单价后填写。</t>
  </si>
  <si>
    <t>雨虹实际销售额</t>
  </si>
  <si>
    <t>经销商在该品类在年度实际销售额（雨虹口径）。</t>
  </si>
  <si>
    <t>由经销商/区域经理根据实际销售数据填写。保留1位小数。</t>
  </si>
  <si>
    <t>市场容量</t>
  </si>
  <si>
    <t>市场容量 = 人口(万) ÷ 户均人口 × 户均居住面积(m²) × 品类单价(元/m²) × 5%</t>
  </si>
  <si>
    <t>市场份额</t>
  </si>
  <si>
    <t>市场份额 = 雨虹实际销售额 ÷ 市场容量 × 100%</t>
  </si>
  <si>
    <t>经销商生意诊断表</t>
  </si>
  <si>
    <t>城市等级</t>
  </si>
  <si>
    <t>三四级</t>
  </si>
  <si>
    <t>商体量</t>
  </si>
  <si>
    <t>1000W-2000W</t>
  </si>
  <si>
    <t>说明：通过筛选城市等级/商体量，调用对应数据；红色指标为重要性指标；白色为填写区。</t>
  </si>
  <si>
    <t>定量指标参考值</t>
  </si>
  <si>
    <t>附加分指标参考值</t>
  </si>
  <si>
    <t>区域外部市场分析</t>
  </si>
  <si>
    <t>指标</t>
  </si>
  <si>
    <t>权重</t>
  </si>
  <si>
    <t>函数项</t>
  </si>
  <si>
    <t>实际值</t>
  </si>
  <si>
    <t>得分</t>
  </si>
  <si>
    <t>优秀值</t>
  </si>
  <si>
    <t>渠道维度</t>
  </si>
  <si>
    <t>1. 市场容量与份额分析</t>
  </si>
  <si>
    <t>增长层</t>
  </si>
  <si>
    <t>生意总体</t>
  </si>
  <si>
    <t>合同达成率（%）</t>
  </si>
  <si>
    <t>销售增长率（%）</t>
  </si>
  <si>
    <t>选择品类</t>
  </si>
  <si>
    <t>防水</t>
  </si>
  <si>
    <t>网点数量（个）</t>
  </si>
  <si>
    <t>单店产出（万元）</t>
  </si>
  <si>
    <t>数据输入</t>
  </si>
  <si>
    <t>核心店占比（%）</t>
  </si>
  <si>
    <t>有效门店占比（%）</t>
  </si>
  <si>
    <t>人均服务网点数（个）</t>
  </si>
  <si>
    <t>自有人员数量（人）</t>
  </si>
  <si>
    <t>人效（万元/人）</t>
  </si>
  <si>
    <t>乡镇覆盖率（%）</t>
  </si>
  <si>
    <t>家装公司产出/月（元）</t>
  </si>
  <si>
    <t>会员数量（人）</t>
  </si>
  <si>
    <t>会员人均产出（万元/人）</t>
  </si>
  <si>
    <t>渠道数量</t>
  </si>
  <si>
    <t>品类维度</t>
  </si>
  <si>
    <t>品类数量</t>
  </si>
  <si>
    <t>支撑层</t>
  </si>
  <si>
    <t>会议场次</t>
  </si>
  <si>
    <t>分销会次数（次）</t>
  </si>
  <si>
    <t>专业人士会议次数（次）</t>
  </si>
  <si>
    <t>仓储效率</t>
  </si>
  <si>
    <t>坪效（万元/平方米）</t>
  </si>
  <si>
    <t>月均工单数量（单）</t>
  </si>
  <si>
    <t>数字化水平
（a/b/c/d）</t>
  </si>
  <si>
    <t>c</t>
  </si>
  <si>
    <t>a. 仅拥有进销存数字化系统水平
b. 能够进行数据分析水平
c. 具有数字化指标洞察水平
d. 尚未采用数字化系统</t>
  </si>
  <si>
    <t>意愿层</t>
  </si>
  <si>
    <t>意愿维度</t>
  </si>
  <si>
    <t>活动参与度
（a/b/c）</t>
  </si>
  <si>
    <t>a</t>
  </si>
  <si>
    <t>a. 积极参与品牌方（YH）日常会议、培训、活动，并表现突出
b. 参与品牌方（YH）日常会议、培训、活动，较少存在请假、早退等情况
c. 基本不参与品牌方（YH）日常会议、培训、活动</t>
  </si>
  <si>
    <t>品类及渠道参考值</t>
  </si>
  <si>
    <t>计算输出</t>
  </si>
  <si>
    <t>砂浆</t>
  </si>
  <si>
    <t>美缝</t>
  </si>
  <si>
    <t>卷材</t>
  </si>
  <si>
    <t>经营意愿
（a/b/c）</t>
  </si>
  <si>
    <t>a. 对于YH品牌存在巨大经营信心，积极与品牌方（YH）互动沟通，每周不少于1次同品牌方（YH）开展经营沟通，愿意配合品牌方（YH）积极开展市场活动，并投入人力物力等资源开展经营
b. 对于YH品牌存在经营信心，较为配合执行品牌方（YH）市场活动政策
c. 计划放弃经营YH品牌（指经销商解约），不配合品牌方（YH）日常管理，不协助品牌方（YH）执行市场活动政策</t>
  </si>
  <si>
    <t>文化认知度
（a/b/c）</t>
  </si>
  <si>
    <t>a. 对于东方雨虹企业文化存在清晰认知，认同东方雨虹企业文化，并在日常市场经营活动中积极践行
b. 清楚了解东方雨虹企业文化，对于东方雨虹企业文化存在认同
c. 不清楚东方雨虹企业文化，不认同东方雨虹企业文化</t>
  </si>
  <si>
    <t>公式：市场容量 = 人口(万) ÷ 户均人口 × 户均居住面积(m²) × 品类单价(元/m²) × 5%。
市场份额 = 雨虹实际销售额 ÷ 市场容量。注：5%系数按房屋20年翻新一次估算。</t>
  </si>
  <si>
    <t>墙辅</t>
  </si>
  <si>
    <t>胶业</t>
  </si>
  <si>
    <t>管业</t>
  </si>
  <si>
    <t>2. 区域市场竞争格局诊断</t>
  </si>
  <si>
    <t>最终得分</t>
  </si>
  <si>
    <t>评语</t>
  </si>
  <si>
    <t>结果性评价</t>
  </si>
  <si>
    <t>品牌</t>
  </si>
  <si>
    <t>年度预估销售(万元)</t>
  </si>
  <si>
    <t>雨虹</t>
  </si>
  <si>
    <t>德高</t>
  </si>
  <si>
    <t>核心店数量占比</t>
  </si>
  <si>
    <t>立邦</t>
  </si>
  <si>
    <t>其他主要竞品1</t>
  </si>
  <si>
    <t>品类结构
（防水：砂浆：美缝：卷材：墙辅：胶业+管业）</t>
  </si>
  <si>
    <t>渠道结构
（分销：零售：家装+工装）</t>
  </si>
  <si>
    <t>其他主要竞品2</t>
  </si>
  <si>
    <t>……</t>
  </si>
  <si>
    <t>附加分指标评语</t>
  </si>
  <si>
    <t>我方市占率（vs竞品合计）</t>
  </si>
  <si>
    <t>会员人均产值</t>
  </si>
  <si>
    <t>我方 vs 最大竞品倍率</t>
  </si>
  <si>
    <t>竞争格局评语</t>
  </si>
  <si>
    <t>东方雨虹经销商定量诊断评分 · 数据底稿总表</t>
  </si>
  <si>
    <t>使用说明：本表所有指标的区间取值、得分及评语，均可被9张诊断表通过 INDEX/MATCH 公式直接引用。修改本表数据后，诊断表自动同步。区间①~③的"上限值"即为临界值（实际值 &lt; 上限值时适用该区间）；区间④为最高档无上限。</t>
  </si>
  <si>
    <t>基本信息</t>
  </si>
  <si>
    <t>区间 ①（实际值 ≤ 区间①上限）</t>
  </si>
  <si>
    <t>区间 ②（区间①上限 &lt; 实际值 ≤ 区间②上限）</t>
  </si>
  <si>
    <t>区间 ③（区间②上限 &lt; 实际值 ≤ 区间③上限）</t>
  </si>
  <si>
    <t>区间 ④（&gt; 区间③上限，最高档）</t>
  </si>
  <si>
    <t>其他</t>
  </si>
  <si>
    <t>坎级</t>
  </si>
  <si>
    <t>层级</t>
  </si>
  <si>
    <t>子维度</t>
  </si>
  <si>
    <t>优秀值
（P70）</t>
  </si>
  <si>
    <t>区间①
上限值</t>
  </si>
  <si>
    <t>区间①
系数/得分</t>
  </si>
  <si>
    <t>区间①
计分说明</t>
  </si>
  <si>
    <t>区间①
评语</t>
  </si>
  <si>
    <t>区间②
上限值</t>
  </si>
  <si>
    <t>区间②
系数/得分</t>
  </si>
  <si>
    <t>区间②
计分说明</t>
  </si>
  <si>
    <t>区间②
评语</t>
  </si>
  <si>
    <t>区间③
上限值</t>
  </si>
  <si>
    <t>区间③
系数/得分</t>
  </si>
  <si>
    <t>区间③
计分说明</t>
  </si>
  <si>
    <t>区间③
评语</t>
  </si>
  <si>
    <t>区间④
档位/上限值</t>
  </si>
  <si>
    <t>区间④
系数/得分</t>
  </si>
  <si>
    <t>区间④
计分说明</t>
  </si>
  <si>
    <t>区间④
评语</t>
  </si>
  <si>
    <t>特殊规则/备注</t>
  </si>
  <si>
    <t>复合键
（查询用）</t>
  </si>
  <si>
    <t>超特</t>
  </si>
  <si>
    <t>300W-1000W</t>
  </si>
  <si>
    <t>实际值×0.1（得分随实际值浮动）</t>
  </si>
  <si>
    <t>合同达成率低于85%，履约情况需重点改善，严重影响合作稳定性。建议深入复盘分析未达成原因，制定详细改进计划并跟踪落实，确保合同履约执行到位。</t>
  </si>
  <si>
    <t>实际值×0.11</t>
  </si>
  <si>
    <t>合同达成率低于90%，合同履约不足，存在较大改善空间。建议重点关注低达成率品类，分析原因并制定改善计划。</t>
  </si>
  <si>
    <t>实际值×0.12</t>
  </si>
  <si>
    <t>全年合同尚未达百，但整体达成情况较好，可能存在部分合同履约不足。建议关注单份合同达成差异，制定针对性改进措施。</t>
  </si>
  <si>
    <t>—</t>
  </si>
  <si>
    <t>固定封顶，最高14.4分</t>
  </si>
  <si>
    <t>全年合同达百，整体表现优异。建议深入分析单份合同达成差异，防范个别合同达成不力带来的风险。</t>
  </si>
  <si>
    <t>比例计分，区间上限即为各档临界值</t>
  </si>
  <si>
    <t>超特|300W-1000W|合同达成率</t>
  </si>
  <si>
    <t>负增长超过阈值，得0分</t>
  </si>
  <si>
    <t>销售呈现负增长，市场竞争力弱。建议深入分析市场环境和竞争态势，制定针对性营销策略，同时对负增长品类进行专项评估，调整产品结构。</t>
  </si>
  <si>
    <t>固定系数，×100得4分</t>
  </si>
  <si>
    <t>销售增长率处于同类经销商中的中等偏下水平，增长动力有待加强。建议聚焦低增长品类，分析原因并制定提升策略。</t>
  </si>
  <si>
    <t>固定系数，×100得7分</t>
  </si>
  <si>
    <t>销售增长率处于同类经销商中的中等偏上水平，增长态势良好。建议持续关注品类增长，挖掘潜力品类，提升增长空间。</t>
  </si>
  <si>
    <t>固定系数，×100得10分</t>
  </si>
  <si>
    <t>销售增长率处于同类经销商中的领先水平，增长动力强劲。建议关注各品类的增长表现，识别增长引擎品类，制定可持续增长策略，避免短期波动影响长期发展。</t>
  </si>
  <si>
    <t>超特|300W-1000W|销售增长率</t>
  </si>
  <si>
    <t>208个</t>
  </si>
  <si>
    <t>固定30分</t>
  </si>
  <si>
    <t>网点数量处于同类经销商中的末位水平，网点数量严重不足，网络基础薄弱。建议快速制定网点开发计划，加快拓展步伐，优先覆盖重点区域，并建立网点建设进度跟踪机制，确保计划落地。</t>
  </si>
  <si>
    <t>固定50分</t>
  </si>
  <si>
    <t>网点数量处于同类经销商中的中等偏下水平，网点数量少，网络覆盖不足。建议制定网点拓展计划，持续推进网点开发，填补空白区域，逐步完善网络布局。</t>
  </si>
  <si>
    <t>固定70分</t>
  </si>
  <si>
    <t>网点数量处于同类经销商中的中等偏上水平，网络布局合理。建议在稳定数量的同时提升网点质量，聚焦单店产值和有效门店占比提升，优化网点结构。</t>
  </si>
  <si>
    <t>≥208.3</t>
  </si>
  <si>
    <t>固定90分（满分）</t>
  </si>
  <si>
    <t>网点数量处于同类经销商中的领先水平，网点覆盖广泛，网络基础扎实。建议重点提升单店产值和核心店占比，优化网点质量；同时建立网点分级管理体系，提高网点运营效率。</t>
  </si>
  <si>
    <t>超特|300W-1000W|网点数量</t>
  </si>
  <si>
    <t>核心店数量占比处于同类经销商中的末位水平，分销渠道结构极不稳定，核心网点建设严重不足，增长依赖低产值网点。建议分级管理，紧急选拔有潜力门店进行重点培育，打造核心店；学习优秀经销商核心店建设经验，快速复制；建立核心店建设专项考核机制，确保建设效果。</t>
  </si>
  <si>
    <t>核心店数量占比处于同类经销商中的中等偏下水平，分销渠道结构不稳定，核心网点建设不足，市场支撑能力弱。建议持续提升网点质量，建立核心店运营标准，培育更多核心店。</t>
  </si>
  <si>
    <t>核心店数量占比处于同类经销商中的中等偏上水平，分销渠道结构稳定，核心店占比相对健康。建议关注核心店达成，建立核心店培育与退出机制，持续提升核心店质量，稳定增长基础。</t>
  </si>
  <si>
    <t>≥21.4%</t>
  </si>
  <si>
    <t>核心店数量占比处于同类经销商中的领先水平，核心资源集中，分销渠道增长由核心店驱动，市场竞争力强。建议持续关注核心店达成情况，保持增长动力。</t>
  </si>
  <si>
    <t>超特|300W-1000W|核心店数量占比</t>
  </si>
  <si>
    <t>有效门店占比处于同类经销商中的末位水平，建议安排专人定时进行拜访，完善分销管理流程；对低效门店进行全面评估，制定关停并转计划，集中资源提升保留门店的运营效率。</t>
  </si>
  <si>
    <t>有效门店占比处于同类经销商中的中等偏下水平，存在部分“沉睡”门店。建议提升拜访率，激活沉睡门店，避免分销资源浪费；同时对低效门店进行评估，制定整改或淘汰计划。</t>
  </si>
  <si>
    <t>有效门店占比处于同类经销商中的中等偏上水平，网点拜访率及陈列合格率较高，大部分门店运营有效，存在少量低效门店。建议对低效门店进行整改或优化，提升整体有效性。</t>
  </si>
  <si>
    <t>≥94.6%</t>
  </si>
  <si>
    <t>有效门店占比处于同类经销商中的领先水平，网点拜访率及陈列合格率高，资源利用效率高。建议关注高拜访率门店的产值表现。</t>
  </si>
  <si>
    <t>超特|300W-1000W|有效门店占比</t>
  </si>
  <si>
    <t>76.6个</t>
  </si>
  <si>
    <t>人均服务网点数处于同类经销商中的末位水平，人员服务密度严重不足，单点人力服务成本高。建议重新设定人员服务网点考核指标，提升人员利用效率。</t>
  </si>
  <si>
    <t>人均服务网点数处于同类经销商中的中等偏下水平，单兵服务半径较小，人力资源利用不充分。建议提升网点数量，释放人员效能。</t>
  </si>
  <si>
    <t>人均服务网点数处于同类经销商中的中等偏上水平，管理半径相对合理。建议持续关注人效，优化资源配置。</t>
  </si>
  <si>
    <t>≥76.6</t>
  </si>
  <si>
    <t>人均服务网点数处于同类经销商中的领先水平，单兵服务密度极高，人员负荷处于满载状态。建议关注人效，防止服务质量下降。</t>
  </si>
  <si>
    <t>超特|300W-1000W|人均服务网点数</t>
  </si>
  <si>
    <t>3个</t>
  </si>
  <si>
    <t>自有人员数量处于同类经销商中的末位水平，自有销售人员严重不足，业务开拓与网络维护能力严重受限。建议制定招聘计划，快速补充人员。</t>
  </si>
  <si>
    <t>自有人员数量处于同类经销商中的中等偏下水平，自有人员力量薄弱，覆盖与服务能力不足。建议结合人效和渠道需求，制定人员招聘计划，补充团队力量。</t>
  </si>
  <si>
    <t>自有人员数量处于同类经销商中的中等偏上水平，具备基础的覆盖保障能力。建议聚焦重点渠道，优化人员配置。</t>
  </si>
  <si>
    <t>≥3</t>
  </si>
  <si>
    <t>自有人员数量处于同类经销商中的领先水平，具备深耕市场的团队基础。建议结合渠道发展合理分工，加强人员专业技能培训，提升团队整体素质；建立人员梯队建设计划，保障团队可持续发展。</t>
  </si>
  <si>
    <t>超特|300W-1000W|自有人员数量</t>
  </si>
  <si>
    <t>511.8万/人</t>
  </si>
  <si>
    <t>人效处于同类经销商中的末位水平，可能存在经营亏损风险。建议关注如何提升销售额或考虑人员调整，建立明确的绩效考核和激励机制；同时加强人员培训，提升专业技能和工作效率。</t>
  </si>
  <si>
    <t>人效处于同类经销商中的中等偏下水平，人均产出不足，无法满足当前生意规模的需求。建议优化工作流程，消除无效劳动；建立绩效考核机制，激发人员工作积极性。</t>
  </si>
  <si>
    <t>人效处于同类经销商中的中等偏上水平，基本满足当前生意规模的需求。建议分析高绩效人员工作方法，在团队内推广，持续优化人员产出，提升盈利能力。</t>
  </si>
  <si>
    <t>≥511.8</t>
  </si>
  <si>
    <t>人效处于同类经销商中的领先水平，人力资源利用充分，人均创造价值高。建议关注销售额整体构成，提升净利润水平。</t>
  </si>
  <si>
    <t>超特|300W-1000W|人效</t>
  </si>
  <si>
    <t>乡镇覆盖率处于同类经销商中的末位水平，乡镇覆盖极少，下沉市场开拓严重不足。建议制定乡镇市场专项开拓计划，快速布局；简化乡镇市场进入流程，降低开拓难度；建立乡镇市场开拓激励机制，加快开拓进度。</t>
  </si>
  <si>
    <t>乡镇覆盖率处于同类经销商中的中等水平，乡镇覆盖良好，布局较为均衡。建议建议制定乡镇开拓计划，筛选空白重点乡镇，逐步扩大乡镇覆盖范围，持续完善乡镇网络。</t>
  </si>
  <si>
    <t>固定70分（本指标最高档，无第四档）</t>
  </si>
  <si>
    <t>乡镇覆盖率处于同类经销商中的领先水平，乡镇市场渗透充分。建议关注乡镇网点的产值表现，制定差异化运营方案，优化产品和服务策略。</t>
  </si>
  <si>
    <t>仅三档，满分系数70（非90）</t>
  </si>
  <si>
    <t>超特|300W-1000W|乡镇覆盖率</t>
  </si>
  <si>
    <t>8.4万</t>
  </si>
  <si>
    <t>单店产值处于同类经销商中的末位水平，门店产出普遍偏低。建议全面诊断门店运营问题，制定系统性提升方案；加强门店陈列、促销和服务管理，提升单店产出；建立门店运营督导机制，确保改进措施执行到位。</t>
  </si>
  <si>
    <t>单店产值处于同类经销商中的中等偏下水平，门店之间产值差异较大，整体水平偏低，单店运营效率有待提升。建议提升铺货率和拜访频次，激活低效门店。</t>
  </si>
  <si>
    <t>单店产值处于同类经销商中的中等偏上水平，网络基础较好。大部分门店运营正常，少数门店产值偏低，建议聚焦低产值网点，提升铺货率和销售能力。</t>
  </si>
  <si>
    <t>≥8.4</t>
  </si>
  <si>
    <t>单店产值处于同类经销商中的领先水平，头部门店表现突出。建议分析头部门店成功经验，复制推广至其他门店，防范因过度依赖少数头部门店而导致的结构性风险。</t>
  </si>
  <si>
    <t>权重由9.6%修正为9.5%，修正权重合计为100%</t>
  </si>
  <si>
    <t>超特|300W-1000W|单店产出</t>
  </si>
  <si>
    <t>54人</t>
  </si>
  <si>
    <t>会员数量处于同类经销商中的末位水平，客户数量严重缺失，市场影响力弱。建议制定会员快速发展计划，通过多种渠道吸纳会员；建立会员入门优惠机制，降低会员加入门槛；加强会员服务基础建设，提升会员留存率。</t>
  </si>
  <si>
    <t>会员数量处于同类经销商中的中等偏下水平，客户基础薄弱，尚未形成规模。建议制定会员发展计划，通过工人会和小区推广等形式，扩大会员规模；建立会员服务体系，提升会员满意度和忠诚度。</t>
  </si>
  <si>
    <t>会员数量处于同类经销商中的中等偏上水平，客户基础较好，具备零售业务基础。建议持续挖掘会员价值，提升转化率。</t>
  </si>
  <si>
    <t>≥54</t>
  </si>
  <si>
    <t>会员数量处于同类经销商中的领先水平，市场影响力强，客户资源丰富。建议建立会员分级管理体系，提升高价值会员服务质量；制定会员活跃度提升计划，增强会员粘性。</t>
  </si>
  <si>
    <t>超特|300W-1000W|会员数量</t>
  </si>
  <si>
    <t>0.59万/人</t>
  </si>
  <si>
    <t>会员人均产出处于同类经销商中的末位水平，客户价值低，消费转化困难。建议安排专人负责，勤沟通，多开展培训会、订货会等，制定会员消费激励计划，提高会员消费频次和客单价。</t>
  </si>
  <si>
    <t>会员人均产出处于同类经销商中的中等偏下水平，价值转化不足，会员消费频次低。建议多开展培训会、订货会等，建立会员激励机制，提高会员消费积极性。</t>
  </si>
  <si>
    <t>会员人均产出处于同类经销商中的中等偏上水平，会员产出良好，贡献稳定，高价值会员占比有待提升。建议建立会员价值提升机制，持续挖掘会员潜在价值；识别高潜力会员，制定专项服务计划。</t>
  </si>
  <si>
    <t>≥0.594</t>
  </si>
  <si>
    <t>会员人均产出处于同类经销商中的领先水平，核心会员粘性强、贡献大。建议与核心会员签订协议，建立长期合作关系，保证稳定性。</t>
  </si>
  <si>
    <t>超特|300W-1000W|会员人均产出</t>
  </si>
  <si>
    <t>4个</t>
  </si>
  <si>
    <t>固定20分</t>
  </si>
  <si>
    <t>渠道数量处于同类经销商中的末位水平，业务结构单一，渠道建设严重不足。抗风险能力弱。建议拓展多元化渠道，丰富渠道结构；加强与现有渠道的深度合作，提升渠道效益。</t>
  </si>
  <si>
    <t>渠道数量处于同类经销商中的中等偏下水平，渠道类型少，抗风险能力不足。建议拓展多元化渠道，丰富渠道结构。</t>
  </si>
  <si>
    <t>固定90分</t>
  </si>
  <si>
    <t>渠道数量处于同类经销商中的中等偏上水平，具备一定的抗风险能力。建议结合当地及自身情况，评估是否拓展新渠道；同时评估低效渠道改进空间，优化渠道结构。</t>
  </si>
  <si>
    <t>≧4</t>
  </si>
  <si>
    <t>渠道数量处于同类经销商中的领先水平，业务结构健康多元，具备一定盈利能力和发展潜力，抗风险能力强。建议针对低产出渠道进行资源倾斜。</t>
  </si>
  <si>
    <t>四档，得分跨度较大（20/70/90），区间③和区间④分值均为90分。</t>
  </si>
  <si>
    <t>超特|300W-1000W|渠道数量</t>
  </si>
  <si>
    <t>固定20分（品类数&lt;2个）</t>
  </si>
  <si>
    <t>品类数量处于同类经销商中的末位水平，品类结构单一，客单价和盈利能力可能陷入瓶颈。建议结合当地市场需求，增加新品，提升品类丰富度和盈利能力。</t>
  </si>
  <si>
    <t>固定50分（2≤品类数&lt;3个）</t>
  </si>
  <si>
    <t>品类数量处于同类经销商中的中等偏下水平，品类偏少，综合服务能力不足。建议适当增加新品类，丰富产品结构，提升竞争力。</t>
  </si>
  <si>
    <t>固定70分（3≤品类数&lt;4个）</t>
  </si>
  <si>
    <t>品类数量处于同类经销商中的中等偏上水平，具备基础的综合服务能力，建议结合产品销售增长情况，评估是否增加新品。</t>
  </si>
  <si>
    <t>固定90分（品类数≥4个）</t>
  </si>
  <si>
    <t>品类数量处于同类经销商中的领先水平，品类结构丰富，具备一站式综合服务基础，市场竞争力强。建议分级管理品类，明确利润品与销量品，保持品类活力。</t>
  </si>
  <si>
    <t>四档，20/50/70/90</t>
  </si>
  <si>
    <t>超特|300W-1000W|品类数量</t>
  </si>
  <si>
    <t>2次</t>
  </si>
  <si>
    <t>分销会场次处于同类经销商中的末位水平，与分销渠道的互动极度缺乏，渠道可能存在失联风险。建议结合门店拜访计划，制定最低会议频次标准，确保基本沟通；同时建立渠道反馈机制，及时了解渠道需求。</t>
  </si>
  <si>
    <t>分销会场次处于同类经销商中的中等偏下水平，渠道沟通不足，难以维系渠道粘性。建议结合销售节奏，制定分销会议计划，增加会议频次。</t>
  </si>
  <si>
    <t>分销会场次处于同类经销商中的中等偏上水平，渠道粘性较强。建议聚焦核心店和有效门店，提升会议质量。</t>
  </si>
  <si>
    <t>≥4</t>
  </si>
  <si>
    <t>分销会场次处于同类经销商中的领先水平，在激活分销网络上具备主动性，渠道维护积极。建议提升会议质量和针对性，增强会议效果，关注分销单店产值。</t>
  </si>
  <si>
    <t>超特|300W-1000W|分销会次数</t>
  </si>
  <si>
    <t>14次</t>
  </si>
  <si>
    <t>专业人士会议场次处于同类经销商中的末位水平，客情维护严重缺失，会员关系薄弱。建议制定专业人士会议计划，定期开展会议，加强会员沟通。</t>
  </si>
  <si>
    <t>专业人士会议场次处于同类经销商中的中等偏下水平，客情维护不足。建议聚焦新会员和低黏度会员，增强互动。</t>
  </si>
  <si>
    <t>专业人士会议场次处于同类经销商中的中等偏上水平，会议开展良好，会员关系稳定。建议关注会员人均产出，提升低产出会员。</t>
  </si>
  <si>
    <t>≥14</t>
  </si>
  <si>
    <t>固定90分（14~40次区间满分）</t>
  </si>
  <si>
    <t>专业人士会议场次处于同类经销商中的领先水平，会议开展积极，客情维护到位。 建议关注会员人均产出，防范资源浪费。</t>
  </si>
  <si>
    <t>⚠️ 特殊规则：次数&gt;40次视为数据异常，得分回退至50分，函数中需单独处理</t>
  </si>
  <si>
    <t>超特|300W-1000W|专业人士会议次数</t>
  </si>
  <si>
    <t>万元/㎡</t>
  </si>
  <si>
    <t>1.25万/平方米</t>
  </si>
  <si>
    <t>坪效处于同类经销商中的末位水平，运营成本高，仓储可能已成为高成本负担。建议优化库存管理，调整产品结构；关注坪效指标，持续提升空间利用效率。</t>
  </si>
  <si>
    <t>坪效处于同类经销商中的中等偏下水平，仓储运营管理粗放，表明成本控制能力不足。建议调整产品结构，提升仓储效率。</t>
  </si>
  <si>
    <t>坪效处于同类经销商中的中等偏上水平，仓储利用与成本控制良好。建议根据产品周转率优化仓储布局，聚焦低周转率产品，提升空间效率。</t>
  </si>
  <si>
    <t>≥1.25</t>
  </si>
  <si>
    <t>坪效处于同类经销商中的领先水平，仓储运营的精细化管理程度高，成本控制好。建议根据毛利润调整产品组合，持续优化。</t>
  </si>
  <si>
    <t>超特|300W-1000W|坪效</t>
  </si>
  <si>
    <t>a/b/c/d档</t>
  </si>
  <si>
    <t>a档</t>
  </si>
  <si>
    <t>d</t>
  </si>
  <si>
    <t>未采用数字化系统，0分</t>
  </si>
  <si>
    <t>数字化水平处于同类经销商中的末位水平，无系统，管理方式原始，数据资产缺失，管理风险高，数据价值被浪费。建议引入基础数字化管理工具，加强人员数字化技能培训，快速推动数字化转型。</t>
  </si>
  <si>
    <t>固定30分（进销存系统）</t>
  </si>
  <si>
    <t>数字化水平处于同类经销商中的中等偏下水平，数字化应用停留在记账层面，仍以传统管理方式为主，数据价值可能被浪费。建议引入数字化管理工具，提升管理效率和风险控制能力。</t>
  </si>
  <si>
    <t>b</t>
  </si>
  <si>
    <t>固定70分（数据分析能力）</t>
  </si>
  <si>
    <t>数字化水平处于同类经销商中的中等偏上水平，已开始利用数据进行管理。建议建立数据资产体系，提升数据价值。</t>
  </si>
  <si>
    <t>固定90分（c档，指标洞察能力，满分）</t>
  </si>
  <si>
    <t>数字化水平处于同类经销商中的领先水平，具备数据驱动决策能力。建议加强数据分析能力建设，用数据指导经营，提升决策效率。</t>
  </si>
  <si>
    <t>字母档位评级，非数值区间；c最高（指标洞察），d最低</t>
  </si>
  <si>
    <t>超特|300W-1000W|数字化水平</t>
  </si>
  <si>
    <t>a/b/c档</t>
  </si>
  <si>
    <t>A档</t>
  </si>
  <si>
    <t>固定20分（基本不参与）</t>
  </si>
  <si>
    <t>活动参与度处于同类经销商中的末位水平，活动参与积极性低，意愿差。建议与经销商勤沟通，提前沟通活动重要性和利益点；建立活动参与考核和激励机制，提升参与积极性。</t>
  </si>
  <si>
    <t>固定60分（一般参与）</t>
  </si>
  <si>
    <t>活动参与度处于同类经销商中的中等偏下水平，参与积极性不足。建议与经销商勤沟通，找出活动参与度低的原因，提升活动参与意愿。</t>
  </si>
  <si>
    <t>固定90分（积极参与，最高档）</t>
  </si>
  <si>
    <t>活动参与度处于同类经销商中的中等偏上水平，参与意愿较强。建议建立活动总结机制，持续优化活动参与质量。</t>
  </si>
  <si>
    <t>活动参与度处于同类经销商中的领先水平，活动配合积极，市场响应及时。建议关注活动执行效果，提升活动价值。</t>
  </si>
  <si>
    <t>超特|300W-1000W|活动参与度</t>
  </si>
  <si>
    <t>固定20分（计划放弃）</t>
  </si>
  <si>
    <t>经营意愿处于同类经销商中的末位水平，对品牌信息不足，合作稳定性低。建议加强深度沟通，了解顾虑并提供解决方案，逐步建立信心。</t>
  </si>
  <si>
    <t>固定60分（一般配合）</t>
  </si>
  <si>
    <t>经营意愿处于同类经销商中的中等偏下水平，经营积极性不足。建议与经销商勤沟通，找出经营意愿低的原因，寻找提升意愿的突破口。</t>
  </si>
  <si>
    <t>固定90分（强烈经营意愿，最高档）</t>
  </si>
  <si>
    <t>经营意愿处于同类经销商中的中等偏上水平，合作意愿较强。建议与经销商勤沟通，关注经营动态，及时响应需求。</t>
  </si>
  <si>
    <t>经营意愿处于同类经销商中的领先水平，对于品牌经营信心充足，愿意配合公司积极开展市场活动，并投入人力物力等资源开展经营。建议保持沟通，深化合作关系。</t>
  </si>
  <si>
    <t>超特|300W-1000W|经营意愿</t>
  </si>
  <si>
    <t>固定20分（不认同）</t>
  </si>
  <si>
    <t>文化认知度处于同类经销商中的末位水平，文化认知度薄弱，文化认同感低。建议与经销商勤沟通，建立文化沟通机制，及时传递文化理念；通过文化践行活动，促进文化认同。</t>
  </si>
  <si>
    <t>固定60分（了解认同）</t>
  </si>
  <si>
    <t>文化认知度处于同类经销商中的中等偏下水平，文化理解不深，认同不足。建议加强企业文化宣导，提升文化认知度。</t>
  </si>
  <si>
    <t>固定90分（高度认同品牌文化，最高档）</t>
  </si>
  <si>
    <t>文化认知度处于同类经销商中的中等偏上水平，文化认同情况良好。建议加强企业文化培训，深化文化理解。</t>
  </si>
  <si>
    <t>文化认知度处于同类经销商中的领先水平，对企业文化清晰认知和认同，价值观一致，合作基础稳固，并在日常市场经营活动中积极践行。建议积极传播企业文化，发挥示范作用。</t>
  </si>
  <si>
    <t>超特|300W-1000W|文化认知度</t>
  </si>
  <si>
    <t>超特|1000W-2000W|合同达成率</t>
  </si>
  <si>
    <t>超特|1000W-2000W|销售增长率</t>
  </si>
  <si>
    <t>368个</t>
  </si>
  <si>
    <t>≥368</t>
  </si>
  <si>
    <t>超特|1000W-2000W|网点数量</t>
  </si>
  <si>
    <t>≥18.7%</t>
  </si>
  <si>
    <t>超特|1000W-2000W|核心店数量占比</t>
  </si>
  <si>
    <t>≥94.2%</t>
  </si>
  <si>
    <t>超特|1000W-2000W|有效门店占比</t>
  </si>
  <si>
    <t>85个</t>
  </si>
  <si>
    <t>≥85</t>
  </si>
  <si>
    <t>超特|1000W-2000W|人均服务网点数</t>
  </si>
  <si>
    <t>3人</t>
  </si>
  <si>
    <t>超特|1000W-2000W|自有人员数量</t>
  </si>
  <si>
    <t>874.8万/人</t>
  </si>
  <si>
    <t>≥875</t>
  </si>
  <si>
    <t>超特|1000W-2000W|人效</t>
  </si>
  <si>
    <t>超特|1000W-2000W|乡镇覆盖率</t>
  </si>
  <si>
    <t>8.6万</t>
  </si>
  <si>
    <t>≥8.6</t>
  </si>
  <si>
    <t>超特|1000W-2000W|单店产出</t>
  </si>
  <si>
    <t>76人</t>
  </si>
  <si>
    <t>≥76</t>
  </si>
  <si>
    <t>超特|1000W-2000W|会员数量</t>
  </si>
  <si>
    <t>0.45万/人</t>
  </si>
  <si>
    <t>≥0.451</t>
  </si>
  <si>
    <t>超特|1000W-2000W|会员人均产出</t>
  </si>
  <si>
    <t>超特|1000W-2000W|渠道数量</t>
  </si>
  <si>
    <t>超特|1000W-2000W|品类数量</t>
  </si>
  <si>
    <t>7次</t>
  </si>
  <si>
    <t>≥7</t>
  </si>
  <si>
    <t>超特|1000W-2000W|分销会次数</t>
  </si>
  <si>
    <t>24次</t>
  </si>
  <si>
    <t>≥24</t>
  </si>
  <si>
    <t>超特|1000W-2000W|专业人士会议次数</t>
  </si>
  <si>
    <t>2.16万/平方米</t>
  </si>
  <si>
    <t>≥2.16</t>
  </si>
  <si>
    <t>超特|1000W-2000W|坪效</t>
  </si>
  <si>
    <t>b档</t>
  </si>
  <si>
    <t>固定90分（a档，指标洞察能力，满分）</t>
  </si>
  <si>
    <t>超特|1000W-2000W|数字化水平</t>
  </si>
  <si>
    <t>超特|1000W-2000W|活动参与度</t>
  </si>
  <si>
    <t>超特|1000W-2000W|经营意愿</t>
  </si>
  <si>
    <t>超特|1000W-2000W|文化认知度</t>
  </si>
  <si>
    <t>2000W+</t>
  </si>
  <si>
    <t>超特|2000W+|合同达成率</t>
  </si>
  <si>
    <t>超特|2000W+|销售增长率</t>
  </si>
  <si>
    <t>658个</t>
  </si>
  <si>
    <t>≥660</t>
  </si>
  <si>
    <t>超特|2000W+|网点数量</t>
  </si>
  <si>
    <t>≥13.1%</t>
  </si>
  <si>
    <t>超特|2000W+|核心店数量占比</t>
  </si>
  <si>
    <t>≥94.1%</t>
  </si>
  <si>
    <t>超特|2000W+|有效门店占比</t>
  </si>
  <si>
    <t>108个</t>
  </si>
  <si>
    <t>≥108</t>
  </si>
  <si>
    <t>超特|2000W+|人均服务网点数</t>
  </si>
  <si>
    <t>4人</t>
  </si>
  <si>
    <t>超特|2000W+|自有人员数量</t>
  </si>
  <si>
    <t>857.1万/人</t>
  </si>
  <si>
    <t>≥857.1</t>
  </si>
  <si>
    <t>超特|2000W+|人效</t>
  </si>
  <si>
    <t>超特|2000W+|乡镇覆盖率</t>
  </si>
  <si>
    <t>8.7万</t>
  </si>
  <si>
    <t>≥8.7</t>
  </si>
  <si>
    <t>超特|2000W+|单店产出</t>
  </si>
  <si>
    <t>32人</t>
  </si>
  <si>
    <t>≥32</t>
  </si>
  <si>
    <t>超特|2000W+|会员数量</t>
  </si>
  <si>
    <t>0.98万/人</t>
  </si>
  <si>
    <t>≥0.98</t>
  </si>
  <si>
    <t>超特|2000W+|会员人均产出</t>
  </si>
  <si>
    <t>超特|2000W+|渠道数量</t>
  </si>
  <si>
    <t>5个</t>
  </si>
  <si>
    <t>固定20分（品类数&lt;3个）</t>
  </si>
  <si>
    <t>固定50分（3≤品类数&lt;4个）</t>
  </si>
  <si>
    <t>固定70分（4≤品类数&lt;5个）</t>
  </si>
  <si>
    <t>固定90分（品类数≥5个）</t>
  </si>
  <si>
    <t>超特|2000W+|品类数量</t>
  </si>
  <si>
    <t>6次</t>
  </si>
  <si>
    <t>≥6</t>
  </si>
  <si>
    <t>超特|2000W+|分销会次数</t>
  </si>
  <si>
    <t>30次</t>
  </si>
  <si>
    <t>≥30</t>
  </si>
  <si>
    <t>超特|2000W+|专业人士会议次数</t>
  </si>
  <si>
    <t>2.01万/平方米</t>
  </si>
  <si>
    <t>≥2.01</t>
  </si>
  <si>
    <t>超特|2000W+|坪效</t>
  </si>
  <si>
    <t>c档</t>
  </si>
  <si>
    <t>超特|2000W+|数字化水平</t>
  </si>
  <si>
    <t>超特|2000W+|活动参与度</t>
  </si>
  <si>
    <t>超特|2000W+|经营意愿</t>
  </si>
  <si>
    <t>超特|2000W+|文化认知度</t>
  </si>
  <si>
    <t>一二级</t>
  </si>
  <si>
    <t>一二级|300W-1000W|合同达成率</t>
  </si>
  <si>
    <t>一二级|300W-1000W|销售增长率</t>
  </si>
  <si>
    <t>334个</t>
  </si>
  <si>
    <t>≥334</t>
  </si>
  <si>
    <t>一二级|300W-1000W|网点数量</t>
  </si>
  <si>
    <t>≥20.2%</t>
  </si>
  <si>
    <t>一二级|300W-1000W|核心店数量占比</t>
  </si>
  <si>
    <t>≥94.9%</t>
  </si>
  <si>
    <t>一二级|300W-1000W|有效门店占比</t>
  </si>
  <si>
    <t>79个</t>
  </si>
  <si>
    <t>≥79</t>
  </si>
  <si>
    <t>一二级|300W-1000W|人均服务网点数</t>
  </si>
  <si>
    <t>一二级|300W-1000W|自有人员数量</t>
  </si>
  <si>
    <t>310.7万/人</t>
  </si>
  <si>
    <t>≥310.7</t>
  </si>
  <si>
    <t>一二级|300W-1000W|人效</t>
  </si>
  <si>
    <t>一二级|300W-1000W|乡镇覆盖率</t>
  </si>
  <si>
    <t>3.0万</t>
  </si>
  <si>
    <t>一二级|300W-1000W|单店产出</t>
  </si>
  <si>
    <t>95人</t>
  </si>
  <si>
    <t>≥95</t>
  </si>
  <si>
    <t>一二级|300W-1000W|会员数量</t>
  </si>
  <si>
    <t>0.50万/人</t>
  </si>
  <si>
    <t>≥0.502</t>
  </si>
  <si>
    <t>一二级|300W-1000W|会员人均产出</t>
  </si>
  <si>
    <t>一二级|300W-1000W|渠道数量</t>
  </si>
  <si>
    <t>一二级|300W-1000W|品类数量</t>
  </si>
  <si>
    <t>5次</t>
  </si>
  <si>
    <t>≥5</t>
  </si>
  <si>
    <t>一二级|300W-1000W|分销会次数</t>
  </si>
  <si>
    <t>29次</t>
  </si>
  <si>
    <t>≥29</t>
  </si>
  <si>
    <t>一二级|300W-1000W|专业人士会议次数</t>
  </si>
  <si>
    <t>0.94万/平方米</t>
  </si>
  <si>
    <t>≥0.94</t>
  </si>
  <si>
    <t>一二级|300W-1000W|坪效</t>
  </si>
  <si>
    <t>一二级|300W-1000W|数字化水平</t>
  </si>
  <si>
    <t>一二级|300W-1000W|活动参与度</t>
  </si>
  <si>
    <t>一二级|300W-1000W|经营意愿</t>
  </si>
  <si>
    <t>一二级|300W-1000W|文化认知度</t>
  </si>
  <si>
    <t>一二级|1000W-2000W|合同达成率</t>
  </si>
  <si>
    <t>一二级|1000W-2000W|销售增长率</t>
  </si>
  <si>
    <t>489个</t>
  </si>
  <si>
    <t>≥489</t>
  </si>
  <si>
    <t>一二级|1000W-2000W|网点数量</t>
  </si>
  <si>
    <t>≥23.4%</t>
  </si>
  <si>
    <t>一二级|1000W-2000W|核心店数量占比</t>
  </si>
  <si>
    <t>≥95.5%</t>
  </si>
  <si>
    <t>一二级|1000W-2000W|有效门店占比</t>
  </si>
  <si>
    <t>80个</t>
  </si>
  <si>
    <t>≥80.3</t>
  </si>
  <si>
    <t>一二级|1000W-2000W|人均服务网点数</t>
  </si>
  <si>
    <t>一二级|1000W-2000W|自有人员数量</t>
  </si>
  <si>
    <t>478.2万/人</t>
  </si>
  <si>
    <t>≥478.2</t>
  </si>
  <si>
    <t>一二级|1000W-2000W|人效</t>
  </si>
  <si>
    <t>一二级|1000W-2000W|乡镇覆盖率</t>
  </si>
  <si>
    <t>3.9万</t>
  </si>
  <si>
    <t>≥3.9</t>
  </si>
  <si>
    <t>一二级|1000W-2000W|单店产出</t>
  </si>
  <si>
    <t>126人</t>
  </si>
  <si>
    <t>≥126</t>
  </si>
  <si>
    <t>一二级|1000W-2000W|会员数量</t>
  </si>
  <si>
    <t>0.65万/人</t>
  </si>
  <si>
    <t>≥0.65</t>
  </si>
  <si>
    <t>一二级|1000W-2000W|会员人均产出</t>
  </si>
  <si>
    <t>一二级|1000W-2000W|渠道数量</t>
  </si>
  <si>
    <t>一二级|1000W-2000W|品类数量</t>
  </si>
  <si>
    <t>一二级|1000W-2000W|分销会次数</t>
  </si>
  <si>
    <t>34次</t>
  </si>
  <si>
    <t>≥34</t>
  </si>
  <si>
    <t>一二级|1000W-2000W|专业人士会议次数</t>
  </si>
  <si>
    <t>1.21万/平方米</t>
  </si>
  <si>
    <t>≥1.21</t>
  </si>
  <si>
    <t>一二级|1000W-2000W|坪效</t>
  </si>
  <si>
    <t>一二级|1000W-2000W|数字化水平</t>
  </si>
  <si>
    <t>一二级|1000W-2000W|活动参与度</t>
  </si>
  <si>
    <t>一二级|1000W-2000W|经营意愿</t>
  </si>
  <si>
    <t>一二级|1000W-2000W|文化认知度</t>
  </si>
  <si>
    <t>一二级|2000W+|合同达成率</t>
  </si>
  <si>
    <t>一二级|2000W+|销售增长率</t>
  </si>
  <si>
    <t>800个</t>
  </si>
  <si>
    <t>≥800</t>
  </si>
  <si>
    <t>一二级|2000W+|网点数量</t>
  </si>
  <si>
    <t>≥32.8%</t>
  </si>
  <si>
    <t>一二级|2000W+|核心店数量占比</t>
  </si>
  <si>
    <t>≥96.9%</t>
  </si>
  <si>
    <t>一二级|2000W+|有效门店占比</t>
  </si>
  <si>
    <t>100个</t>
  </si>
  <si>
    <t>≥99.8</t>
  </si>
  <si>
    <t>一二级|2000W+|人均服务网点数</t>
  </si>
  <si>
    <t>6人</t>
  </si>
  <si>
    <t>一二级|2000W+|自有人员数量</t>
  </si>
  <si>
    <t>530.2万/人</t>
  </si>
  <si>
    <t>≥530.2</t>
  </si>
  <si>
    <t>一二级|2000W+|人效</t>
  </si>
  <si>
    <t>一二级|2000W+|乡镇覆盖率</t>
  </si>
  <si>
    <t>5.5万</t>
  </si>
  <si>
    <t>≥5.5</t>
  </si>
  <si>
    <t>一二级|2000W+|单店产出</t>
  </si>
  <si>
    <t>182人</t>
  </si>
  <si>
    <t>≥182</t>
  </si>
  <si>
    <t>一二级|2000W+|会员数量</t>
  </si>
  <si>
    <t>0.54万</t>
  </si>
  <si>
    <t>≥0.535</t>
  </si>
  <si>
    <t>一二级|2000W+|会员人均产出</t>
  </si>
  <si>
    <t>一二级|2000W+|渠道数量</t>
  </si>
  <si>
    <t>一二级|2000W+|品类数量</t>
  </si>
  <si>
    <t>一二级|2000W+|分销会次数</t>
  </si>
  <si>
    <t>40次</t>
  </si>
  <si>
    <t>≥35</t>
  </si>
  <si>
    <t>一二级|2000W+|专业人士会议次数</t>
  </si>
  <si>
    <t>2万/平方米</t>
  </si>
  <si>
    <t>≥2</t>
  </si>
  <si>
    <t>一二级|2000W+|坪效</t>
  </si>
  <si>
    <t>一二级|2000W+|数字化水平</t>
  </si>
  <si>
    <t>一二级|2000W+|活动参与度</t>
  </si>
  <si>
    <t>一二级|2000W+|经营意愿</t>
  </si>
  <si>
    <t>一二级|2000W+|文化认知度</t>
  </si>
  <si>
    <t>三四级|300W-1000W|合同达成率</t>
  </si>
  <si>
    <t>三四级|300W-1000W|销售增长率</t>
  </si>
  <si>
    <t>231个</t>
  </si>
  <si>
    <t>≥231</t>
  </si>
  <si>
    <t>三四级|300W-1000W|网点数量</t>
  </si>
  <si>
    <t>≥19.9%</t>
  </si>
  <si>
    <t>三四级|300W-1000W|核心店数量占比</t>
  </si>
  <si>
    <t>≥96.1%</t>
  </si>
  <si>
    <t>三四级|300W-1000W|有效门店占比</t>
  </si>
  <si>
    <t>65.5个</t>
  </si>
  <si>
    <t>≥65.5</t>
  </si>
  <si>
    <t>三四级|300W-1000W|人均服务网点数</t>
  </si>
  <si>
    <t>三四级|300W-1000W|自有人员数量</t>
  </si>
  <si>
    <t>293.7万/人</t>
  </si>
  <si>
    <t>≥293.7</t>
  </si>
  <si>
    <t>三四级|300W-1000W|人效</t>
  </si>
  <si>
    <t>三四级|300W-1000W|乡镇覆盖率</t>
  </si>
  <si>
    <t>3.1万</t>
  </si>
  <si>
    <t>≥3.1</t>
  </si>
  <si>
    <t>三四级|300W-1000W|单店产出</t>
  </si>
  <si>
    <t>三四级|300W-1000W|会员数量</t>
  </si>
  <si>
    <t>0.67万/人</t>
  </si>
  <si>
    <t>≥0.67</t>
  </si>
  <si>
    <t>三四级|300W-1000W|会员人均产出</t>
  </si>
  <si>
    <t>三四级|300W-1000W|渠道数量</t>
  </si>
  <si>
    <t>三四级|300W-1000W|品类数量</t>
  </si>
  <si>
    <t>3次</t>
  </si>
  <si>
    <t>三四级|300W-1000W|分销会次数</t>
  </si>
  <si>
    <t>20次</t>
  </si>
  <si>
    <t>≥20</t>
  </si>
  <si>
    <t>三四级|300W-1000W|专业人士会议次数</t>
  </si>
  <si>
    <t>0.85万/平方米</t>
  </si>
  <si>
    <t>≥0.85</t>
  </si>
  <si>
    <t>三四级|300W-1000W|坪效</t>
  </si>
  <si>
    <t>三四级|300W-1000W|数字化水平</t>
  </si>
  <si>
    <t>三四级|300W-1000W|活动参与度</t>
  </si>
  <si>
    <t>三四级|300W-1000W|经营意愿</t>
  </si>
  <si>
    <t>三四级|300W-1000W|文化认知度</t>
  </si>
  <si>
    <t>三四级|1000W-2000W|合同达成率</t>
  </si>
  <si>
    <t>三四级|1000W-2000W|销售增长率</t>
  </si>
  <si>
    <t>380个</t>
  </si>
  <si>
    <t>≥380</t>
  </si>
  <si>
    <t>三四级|1000W-2000W|网点数量</t>
  </si>
  <si>
    <t>≥17.5%</t>
  </si>
  <si>
    <t>三四级|1000W-2000W|核心店数量占比</t>
  </si>
  <si>
    <t>三四级|1000W-2000W|有效门店占比</t>
  </si>
  <si>
    <t>78个</t>
  </si>
  <si>
    <t>≥78.08</t>
  </si>
  <si>
    <t>三四级|1000W-2000W|人均服务网点数</t>
  </si>
  <si>
    <t>三四级|1000W-2000W|自有人员数量</t>
  </si>
  <si>
    <t>490.9万/人</t>
  </si>
  <si>
    <t>≥490.9</t>
  </si>
  <si>
    <t>三四级|1000W-2000W|人效</t>
  </si>
  <si>
    <t>三四级|1000W-2000W|乡镇覆盖率</t>
  </si>
  <si>
    <t>4.4万</t>
  </si>
  <si>
    <t>≥4.4</t>
  </si>
  <si>
    <t>三四级|1000W-2000W|单店产出</t>
  </si>
  <si>
    <t>127人</t>
  </si>
  <si>
    <t>≥127</t>
  </si>
  <si>
    <t>三四级|1000W-2000W|会员数量</t>
  </si>
  <si>
    <t>1.01万</t>
  </si>
  <si>
    <t>≥1.01</t>
  </si>
  <si>
    <t>三四级|1000W-2000W|会员人均产出</t>
  </si>
  <si>
    <t>三四级|1000W-2000W|渠道数量</t>
  </si>
  <si>
    <t>三四级|1000W-2000W|品类数量</t>
  </si>
  <si>
    <t>三四级|1000W-2000W|分销会次数</t>
  </si>
  <si>
    <t>28次</t>
  </si>
  <si>
    <t>≥28</t>
  </si>
  <si>
    <t>三四级|1000W-2000W|专业人士会议次数</t>
  </si>
  <si>
    <t>1.38万/平方米</t>
  </si>
  <si>
    <t>≥1.38</t>
  </si>
  <si>
    <t>三四级|1000W-2000W|坪效</t>
  </si>
  <si>
    <t>三四级|1000W-2000W|数字化水平</t>
  </si>
  <si>
    <t>三四级|1000W-2000W|活动参与度</t>
  </si>
  <si>
    <t>三四级|1000W-2000W|经营意愿</t>
  </si>
  <si>
    <t>三四级|1000W-2000W|文化认知度</t>
  </si>
  <si>
    <t>三四级|2000W+|合同达成率</t>
  </si>
  <si>
    <t>三四级|2000W+|销售增长率</t>
  </si>
  <si>
    <t>910个</t>
  </si>
  <si>
    <t>≥910</t>
  </si>
  <si>
    <t>三四级|2000W+|网点数量</t>
  </si>
  <si>
    <t>≥18.6%</t>
  </si>
  <si>
    <t>三四级|2000W+|核心店数量占比</t>
  </si>
  <si>
    <t>≥96.7%</t>
  </si>
  <si>
    <t>三四级|2000W+|有效门店占比</t>
  </si>
  <si>
    <t>114.5个</t>
  </si>
  <si>
    <t>≥114.5</t>
  </si>
  <si>
    <t>三四级|2000W+|人均服务网点数</t>
  </si>
  <si>
    <t>5人</t>
  </si>
  <si>
    <t>三四级|2000W+|自有人员数量</t>
  </si>
  <si>
    <t>601.4万/人</t>
  </si>
  <si>
    <t>≥601.4</t>
  </si>
  <si>
    <t>三四级|2000W+|人效</t>
  </si>
  <si>
    <t>三四级|2000W+|乡镇覆盖率</t>
  </si>
  <si>
    <t>5.1万</t>
  </si>
  <si>
    <t>≥5.1</t>
  </si>
  <si>
    <t>三四级|2000W+|单店产出</t>
  </si>
  <si>
    <t>98个</t>
  </si>
  <si>
    <t>≥98</t>
  </si>
  <si>
    <t>三四级|2000W+|会员数量</t>
  </si>
  <si>
    <t>1.1万</t>
  </si>
  <si>
    <t>≥1.1</t>
  </si>
  <si>
    <t>三四级|2000W+|会员人均产出</t>
  </si>
  <si>
    <t>三四级|2000W+|渠道数量</t>
  </si>
  <si>
    <t>三四级|2000W+|品类数量</t>
  </si>
  <si>
    <t>三四级|2000W+|分销会次数</t>
  </si>
  <si>
    <t>三四级|2000W+|专业人士会议次数</t>
  </si>
  <si>
    <t>1.90万/平方米</t>
  </si>
  <si>
    <t>≥1.9</t>
  </si>
  <si>
    <t>三四级|2000W+|坪效</t>
  </si>
  <si>
    <t>三四级|2000W+|数字化水平</t>
  </si>
  <si>
    <t>三四级|2000W+|活动参与度</t>
  </si>
  <si>
    <t>三四级|2000W+|经营意愿</t>
  </si>
  <si>
    <t>三四级|2000W+|文化认知度</t>
  </si>
  <si>
    <t>【颜色图例】  黄色底行=增长层  |  蓝色底行=支撑层  |  橙色底行=意愿层  |  红色数字=区间系数（非固定分值）</t>
  </si>
  <si>
    <t>附加分指标参考值 &amp; 评语底稿</t>
  </si>
  <si>
    <t>▌ 一、可打分指标 — 参考值（P70 / P50 / P30）</t>
  </si>
  <si>
    <t>档位</t>
  </si>
  <si>
    <t>超特300W-1000W</t>
  </si>
  <si>
    <t>超特1000W-2000W</t>
  </si>
  <si>
    <t>超特2000W+</t>
  </si>
  <si>
    <t>一二级300W-1000W</t>
  </si>
  <si>
    <t>一二级1000W-2000W</t>
  </si>
  <si>
    <t>一二级2000W+</t>
  </si>
  <si>
    <t>三四级300W-1000W</t>
  </si>
  <si>
    <t>三四级1000W-2000W</t>
  </si>
  <si>
    <t>三四级2000W+</t>
  </si>
  <si>
    <t>P70</t>
  </si>
  <si>
    <t>P50</t>
  </si>
  <si>
    <t>P30</t>
  </si>
  <si>
    <t>P80(优秀线)</t>
  </si>
  <si>
    <t>▌ 二、可打分指标 — 附加分评语（四档：≥P70 / P50~P70 / P30~P50 / &lt;P30）</t>
  </si>
  <si>
    <t>≥P70 评语</t>
  </si>
  <si>
    <t>P50~P70 评语</t>
  </si>
  <si>
    <t>P30~P50 评语</t>
  </si>
  <si>
    <t>&lt;P30 评语</t>
  </si>
  <si>
    <t>零售会员活跃度已达参考值。</t>
  </si>
  <si>
    <t>会员活跃率接近参考值，仍有提升空间</t>
  </si>
  <si>
    <t>会员活跃率偏低，会员价值未能有效转化</t>
  </si>
  <si>
    <t>会员活跃率显著低于参考值，需重点突破</t>
  </si>
  <si>
    <t>家装销售占比已达参考值。</t>
  </si>
  <si>
    <t>家装销售占比接近参考值，可继续优化销售结构</t>
  </si>
  <si>
    <t>家装销售占比未达参考值，需结合生意状态调整销售结构</t>
  </si>
  <si>
    <t>家装销售占比显著偏低，亟需开发家装渠道，如油工、设计带动等</t>
  </si>
  <si>
    <t>单家装公司产出达标。</t>
  </si>
  <si>
    <t>单家装公司产出接近参考值，可持续挖掘单客价值</t>
  </si>
  <si>
    <t>单家装公司产出未达参考值，建议关注B端客户单客价值挖掘</t>
  </si>
  <si>
    <t>单家装公司产出显著偏低，需重点突破家装渠道</t>
  </si>
  <si>
    <t>工单转化率已达参考值，在维持转化率的同时关注工单质量</t>
  </si>
  <si>
    <t>工单转化率接近参考值，可根据生意状态调整服务推广策略</t>
  </si>
  <si>
    <t>工单转化率偏低，建议加强服务推广力度</t>
  </si>
  <si>
    <t>工单转化率显著偏低，需重点优化服务流程</t>
  </si>
  <si>
    <t>月均工单数量已达参考值。</t>
  </si>
  <si>
    <t>月均工单数量接近参考值，可进一步优化服务流程</t>
  </si>
  <si>
    <t>月均工单数量偏低，建议优化服务流程，提升月均工单处理量</t>
  </si>
  <si>
    <t>月均工单数量显著偏低，需重点突破服务承接能力，提升月均工单规模</t>
  </si>
  <si>
    <t>▌ 三、区域竞争格局评语</t>
  </si>
  <si>
    <t>条件（倍率）</t>
  </si>
  <si>
    <t>&gt;1.5</t>
  </si>
  <si>
    <t>竞争格局：区域领先，占据优势</t>
  </si>
  <si>
    <t>0.8~1.5</t>
  </si>
  <si>
    <t>竞争格局：势均力敌，激烈胶着</t>
  </si>
  <si>
    <t>0.5~0.8</t>
  </si>
  <si>
    <t>竞争格局：差距明显，需加大投入力度</t>
  </si>
  <si>
    <t>&lt;0.5</t>
  </si>
  <si>
    <t>竞争格局：敌强我弱，面临压制</t>
  </si>
  <si>
    <t>▌ 四、品类及渠道参考值</t>
  </si>
  <si>
    <t>组合键</t>
  </si>
  <si>
    <t>品类结构（优秀值）</t>
  </si>
  <si>
    <t>渠道结构（优秀值）</t>
  </si>
  <si>
    <t>245.5万</t>
  </si>
  <si>
    <t>274万</t>
  </si>
  <si>
    <t>33.1万</t>
  </si>
  <si>
    <t>505.9万</t>
  </si>
  <si>
    <t>54.1万</t>
  </si>
  <si>
    <t>448.1万</t>
  </si>
  <si>
    <t>649.2万</t>
  </si>
  <si>
    <t>22.1万</t>
  </si>
  <si>
    <t>25.7万</t>
  </si>
  <si>
    <t>12.4万</t>
  </si>
  <si>
    <t>30 : 23 : 3 : 41 : 4 : 0</t>
  </si>
  <si>
    <t>47 : 1 : 2</t>
  </si>
  <si>
    <t>800.7万</t>
  </si>
  <si>
    <t>563.8万</t>
  </si>
  <si>
    <t>115万</t>
  </si>
  <si>
    <t>1072万</t>
  </si>
  <si>
    <t>61.4万</t>
  </si>
  <si>
    <t>1485万</t>
  </si>
  <si>
    <t>22.4万</t>
  </si>
  <si>
    <t>60.7万</t>
  </si>
  <si>
    <t>9.6万</t>
  </si>
  <si>
    <t>37 : 25 : 5 : 32 : 1 : 1</t>
  </si>
  <si>
    <t>76 : 1 : 4</t>
  </si>
  <si>
    <t>1334万</t>
  </si>
  <si>
    <t>1403万</t>
  </si>
  <si>
    <t>435.1万</t>
  </si>
  <si>
    <t>341.3万</t>
  </si>
  <si>
    <t>115.1万</t>
  </si>
  <si>
    <t>10.3万</t>
  </si>
  <si>
    <t>2510万</t>
  </si>
  <si>
    <t>4.5万</t>
  </si>
  <si>
    <t>35.9万</t>
  </si>
  <si>
    <t>30万</t>
  </si>
  <si>
    <t>399 : 356 : 79 : 143 : 22 : 2</t>
  </si>
  <si>
    <t>93 : 1 : 6</t>
  </si>
  <si>
    <t>275.4万</t>
  </si>
  <si>
    <t>291.1万</t>
  </si>
  <si>
    <t>62.8万</t>
  </si>
  <si>
    <t>341万</t>
  </si>
  <si>
    <t>40.6万</t>
  </si>
  <si>
    <t>63.7万</t>
  </si>
  <si>
    <t>35.5万</t>
  </si>
  <si>
    <t>646.3万</t>
  </si>
  <si>
    <t>21.7万</t>
  </si>
  <si>
    <t>36 : 35 : 6 : 18 : 4 : 1</t>
  </si>
  <si>
    <t>92 : 3 : 5</t>
  </si>
  <si>
    <t>596.1万</t>
  </si>
  <si>
    <t>664.9万</t>
  </si>
  <si>
    <t>108.4万</t>
  </si>
  <si>
    <t>413.7万</t>
  </si>
  <si>
    <t>99.8万</t>
  </si>
  <si>
    <t>13.3万</t>
  </si>
  <si>
    <t>33.2万</t>
  </si>
  <si>
    <t>1454万</t>
  </si>
  <si>
    <t>67.7万</t>
  </si>
  <si>
    <t>47.2万</t>
  </si>
  <si>
    <t>11.5万</t>
  </si>
  <si>
    <t>44 : 42 : 10 : 23 : 2 : 5</t>
  </si>
  <si>
    <t>91 : 4 : 5</t>
  </si>
  <si>
    <t>1238.6万</t>
  </si>
  <si>
    <t>1370.1万</t>
  </si>
  <si>
    <t>330.9万</t>
  </si>
  <si>
    <t>352.3万</t>
  </si>
  <si>
    <t>24.8万</t>
  </si>
  <si>
    <t>87.4万</t>
  </si>
  <si>
    <t>2703.2万</t>
  </si>
  <si>
    <t>82.9万</t>
  </si>
  <si>
    <t>81.9万</t>
  </si>
  <si>
    <t>6.8万</t>
  </si>
  <si>
    <t>40 : 39 : 8 : 9 : 1 : 2</t>
  </si>
  <si>
    <t>200.8万</t>
  </si>
  <si>
    <t>228.8万</t>
  </si>
  <si>
    <t>43.8万</t>
  </si>
  <si>
    <t>121.6万</t>
  </si>
  <si>
    <t>35.6万</t>
  </si>
  <si>
    <t>29.3万</t>
  </si>
  <si>
    <t>24.6万</t>
  </si>
  <si>
    <t>507.8万</t>
  </si>
  <si>
    <t>28.4万</t>
  </si>
  <si>
    <t>15.7万</t>
  </si>
  <si>
    <t>4.9万</t>
  </si>
  <si>
    <t>34 : 39 : 7 : 12 : 4 : 4</t>
  </si>
  <si>
    <t>95 : 5 : 3</t>
  </si>
  <si>
    <t>458.8万</t>
  </si>
  <si>
    <t>754.2万</t>
  </si>
  <si>
    <t>112.7万</t>
  </si>
  <si>
    <t>189.2万</t>
  </si>
  <si>
    <t>52.7万</t>
  </si>
  <si>
    <t>20.2万</t>
  </si>
  <si>
    <t>21.3万</t>
  </si>
  <si>
    <t>1250.5万</t>
  </si>
  <si>
    <t>71.3万</t>
  </si>
  <si>
    <t>28.7万</t>
  </si>
  <si>
    <t>33 : 44 : 7 : 10 : 2 : 4</t>
  </si>
  <si>
    <t>93：04：03</t>
  </si>
  <si>
    <t>1462.9万</t>
  </si>
  <si>
    <t>2294.6万</t>
  </si>
  <si>
    <t>318.2万</t>
  </si>
  <si>
    <t>3103.6万</t>
  </si>
  <si>
    <t>26.1万</t>
  </si>
  <si>
    <t>37 : 50 : 5 : 5 : 2 : 1</t>
  </si>
  <si>
    <t>95 : 3 : 3</t>
  </si>
  <si>
    <t>▌ 五、分品类数据（区域经理填写）</t>
  </si>
  <si>
    <t>品类</t>
  </si>
  <si>
    <t>品类单价(元/m²)</t>
  </si>
  <si>
    <t>雨虹实际销售额(万元)</t>
  </si>
  <si>
    <t>合计</t>
  </si>
  <si>
    <t>▌ 六、数据备注</t>
  </si>
  <si>
    <t>分位值直接从原始数据（商评估项目-数据补充-解密.xlsx）重新计算。清洗规则：坎级＜300W剔除、活跃率=0剔除、家装公司数量=0剔除、工单量=0剔除。</t>
  </si>
  <si>
    <t xml:space="preserve">  1. 会员活跃率 超特1000W+: n=28&lt;30, 用总体中位数替代 (P70=0.1318)</t>
  </si>
  <si>
    <t xml:space="preserve">  2. 会员活跃率 三四级1000W+: n=28&lt;30, 用总体中位数替代 (P70=0.1318)</t>
  </si>
  <si>
    <t xml:space="preserve">  3. 会员活跃率 超特300W-1000W: n=19&lt;30, 用总体中位数替代 (P70=0.1318)</t>
  </si>
  <si>
    <t xml:space="preserve">  4. 家装销售占比: 全局分位值，排除零值样本后计算（n=346/632，零值占比45.3%）</t>
  </si>
  <si>
    <t xml:space="preserve">  5. 月均工单数量: ①按服务商名称合并维修+防铺美25年工单（去重55家），总服务商826家；②剔除月均≤5单的微小服务商473家（占57.3%，月均不到1单的有253家），保留353家；③以P80替代P70作为优秀线（P80=38&gt;原P70=10），分位值取整。原因：原始数据极度右偏，32.9%服务商月均&lt;1单，P70仅9.75单/月不具备优秀线参考意义</t>
  </si>
  <si>
    <t xml:space="preserve">  6. 工单转化率: 全局样本（不分九宫格），n=168。维修-转单率 线上渠道</t>
  </si>
  <si>
    <t>最终得分权重配置</t>
  </si>
  <si>
    <t>指标类别</t>
  </si>
  <si>
    <t>定量指标</t>
  </si>
  <si>
    <t>附加分</t>
  </si>
  <si>
    <t>说明：修改权重值后，动态诊断表的最终得分将自动更新。两项权重之和应为100%。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</si>
</sst>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;;;"/>
    <numFmt numFmtId="177" formatCode="0.0%"/>
    <numFmt numFmtId="178" formatCode="0.00_ "/>
    <numFmt numFmtId="179" formatCode="0.0_ "/>
    <numFmt numFmtId="180" formatCode="0_ "/>
    <numFmt numFmtId="181" formatCode="#,##0.0"/>
  </numFmts>
  <fonts count="6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rgb="FFC00000"/>
      <name val="微软雅黑"/>
      <charset val="134"/>
    </font>
    <font>
      <b/>
      <sz val="11"/>
      <name val="微软雅黑"/>
      <charset val="134"/>
    </font>
    <font>
      <i/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rgb="FFC00000"/>
      <name val="微软雅黑"/>
      <charset val="134"/>
    </font>
    <font>
      <sz val="11"/>
      <name val="微软雅黑"/>
      <charset val="134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i/>
      <sz val="9"/>
      <color rgb="FFC00000"/>
      <name val="微软雅黑"/>
      <charset val="134"/>
    </font>
    <font>
      <b/>
      <sz val="20"/>
      <color rgb="FFFFFFFF"/>
      <name val="微软雅黑"/>
      <charset val="134"/>
    </font>
    <font>
      <sz val="9"/>
      <color rgb="FF2C3E50"/>
      <name val="微软雅黑"/>
      <charset val="134"/>
    </font>
    <font>
      <b/>
      <sz val="9"/>
      <color rgb="FF2C3E50"/>
      <name val="微软雅黑"/>
      <charset val="134"/>
    </font>
    <font>
      <sz val="9"/>
      <color theme="1"/>
      <name val="微软雅黑"/>
      <charset val="134"/>
    </font>
    <font>
      <sz val="9"/>
      <color rgb="FF1B4F2A"/>
      <name val="微软雅黑"/>
      <charset val="134"/>
    </font>
    <font>
      <sz val="8"/>
      <color rgb="FF666666"/>
      <name val="微软雅黑"/>
      <charset val="134"/>
    </font>
    <font>
      <sz val="9"/>
      <color rgb="FF2C3E50"/>
      <name val="SimSun"/>
      <charset val="134"/>
    </font>
    <font>
      <b/>
      <sz val="24"/>
      <color theme="0"/>
      <name val="微软雅黑"/>
      <charset val="134"/>
    </font>
    <font>
      <b/>
      <sz val="14"/>
      <color theme="0"/>
      <name val="微软雅黑"/>
      <charset val="134"/>
    </font>
    <font>
      <sz val="16"/>
      <name val="微软雅黑"/>
      <charset val="134"/>
    </font>
    <font>
      <sz val="14"/>
      <color theme="1"/>
      <name val="宋体"/>
      <charset val="134"/>
      <scheme val="minor"/>
    </font>
    <font>
      <sz val="14"/>
      <name val="微软雅黑"/>
      <charset val="134"/>
    </font>
    <font>
      <b/>
      <sz val="16"/>
      <color theme="0"/>
      <name val="微软雅黑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sz val="14"/>
      <color rgb="FFC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4874CB"/>
      <name val="微软雅黑"/>
      <charset val="134"/>
    </font>
    <font>
      <sz val="14"/>
      <color theme="1" tint="0.249977111117893"/>
      <name val="微软雅黑"/>
      <charset val="134"/>
    </font>
    <font>
      <b/>
      <i/>
      <sz val="10"/>
      <color theme="1" tint="0.249977111117893"/>
      <name val="微软雅黑"/>
      <charset val="134"/>
    </font>
    <font>
      <b/>
      <sz val="14"/>
      <color theme="4" tint="-0.249977111117893"/>
      <name val="微软雅黑"/>
      <charset val="134"/>
    </font>
    <font>
      <sz val="14"/>
      <color theme="4" tint="-0.249977111117893"/>
      <name val="微软雅黑"/>
      <charset val="134"/>
    </font>
    <font>
      <sz val="14"/>
      <color rgb="FF000000"/>
      <name val="微软雅黑"/>
      <charset val="134"/>
    </font>
    <font>
      <b/>
      <sz val="12"/>
      <color rgb="FF232425"/>
      <name val="微软雅黑"/>
      <charset val="134"/>
    </font>
    <font>
      <sz val="12"/>
      <color theme="1"/>
      <name val="微软雅黑"/>
      <charset val="134"/>
    </font>
    <font>
      <b/>
      <sz val="14"/>
      <color rgb="FFFFFFFF"/>
      <name val="微软雅黑"/>
      <charset val="134"/>
    </font>
    <font>
      <b/>
      <sz val="14"/>
      <color rgb="FFBBBBBB"/>
      <name val="微软雅黑"/>
      <charset val="134"/>
    </font>
    <font>
      <b/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0.5"/>
      <name val="微软雅黑"/>
      <charset val="134"/>
    </font>
    <font>
      <b/>
      <sz val="11"/>
      <name val="宋体"/>
      <charset val="134"/>
      <scheme val="minor"/>
    </font>
    <font>
      <sz val="16"/>
      <color theme="1"/>
      <name val="微软雅黑"/>
      <charset val="134"/>
    </font>
    <font>
      <b/>
      <sz val="22"/>
      <color theme="0"/>
      <name val="微软雅黑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C0504D"/>
        <bgColor rgb="FFC0504D"/>
      </patternFill>
    </fill>
    <fill>
      <patternFill patternType="solid">
        <fgColor rgb="FFFEF0EF"/>
        <bgColor rgb="FFFEF0EF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E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48E87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FFED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73754081850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B8CCE4"/>
      </right>
      <top/>
      <bottom/>
      <diagonal/>
    </border>
    <border>
      <left style="thin">
        <color rgb="FFB8CCE4"/>
      </left>
      <right/>
      <top/>
      <bottom/>
      <diagonal/>
    </border>
    <border>
      <left style="thin">
        <color theme="1" tint="0.149876400036622"/>
      </left>
      <right style="thin">
        <color rgb="FFB8CCE4"/>
      </right>
      <top/>
      <bottom/>
      <diagonal/>
    </border>
    <border>
      <left/>
      <right/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/>
      <right/>
      <top style="thin">
        <color rgb="FFC5D3E8"/>
      </top>
      <bottom style="thin">
        <color rgb="FFC5D3E8"/>
      </bottom>
      <diagonal/>
    </border>
    <border>
      <left/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5D3E8"/>
      </left>
      <right style="thin">
        <color rgb="FFC5D3E8"/>
      </right>
      <top style="thin">
        <color rgb="FFC5D3E8"/>
      </top>
      <bottom/>
      <diagonal/>
    </border>
    <border>
      <left style="thin">
        <color rgb="FFC5D3E8"/>
      </left>
      <right/>
      <top style="thin">
        <color rgb="FFC5D3E8"/>
      </top>
      <bottom style="thin">
        <color rgb="FFC5D3E8"/>
      </bottom>
      <diagonal/>
    </border>
    <border>
      <left style="thin">
        <color rgb="FFC5D3E8"/>
      </left>
      <right style="thin">
        <color rgb="FFC5D3E8"/>
      </right>
      <top/>
      <bottom style="thin">
        <color rgb="FFC5D3E8"/>
      </bottom>
      <diagonal/>
    </border>
    <border>
      <left style="thin">
        <color theme="1" tint="0.14981536301767"/>
      </left>
      <right/>
      <top/>
      <bottom/>
      <diagonal/>
    </border>
    <border>
      <left style="thin">
        <color theme="1" tint="0.14981536301767"/>
      </left>
      <right style="thin">
        <color theme="1" tint="0.14981536301767"/>
      </right>
      <top/>
      <bottom/>
      <diagonal/>
    </border>
    <border>
      <left/>
      <right style="thin">
        <color theme="1" tint="0.14981536301767"/>
      </right>
      <top/>
      <bottom/>
      <diagonal/>
    </border>
    <border>
      <left style="thin">
        <color theme="1" tint="0.149937437055574"/>
      </left>
      <right/>
      <top style="thin">
        <color theme="1" tint="0.149937437055574"/>
      </top>
      <bottom/>
      <diagonal/>
    </border>
    <border>
      <left/>
      <right/>
      <top style="thin">
        <color theme="1" tint="0.149937437055574"/>
      </top>
      <bottom/>
      <diagonal/>
    </border>
    <border>
      <left/>
      <right style="thin">
        <color auto="1"/>
      </right>
      <top style="thin">
        <color theme="1" tint="0.149937437055574"/>
      </top>
      <bottom/>
      <diagonal/>
    </border>
    <border>
      <left style="thin">
        <color auto="1"/>
      </left>
      <right style="thin">
        <color auto="1"/>
      </right>
      <top style="thin">
        <color theme="1" tint="0.149937437055574"/>
      </top>
      <bottom/>
      <diagonal/>
    </border>
    <border>
      <left style="thin">
        <color auto="1"/>
      </left>
      <right/>
      <top style="thin">
        <color theme="1" tint="0.149937437055574"/>
      </top>
      <bottom/>
      <diagonal/>
    </border>
    <border>
      <left style="thin">
        <color auto="1"/>
      </left>
      <right style="thin">
        <color theme="1" tint="0.14981536301767"/>
      </right>
      <top style="thin">
        <color theme="1" tint="0.149937437055574"/>
      </top>
      <bottom style="thin">
        <color theme="1" tint="0.149937437055574"/>
      </bottom>
      <diagonal/>
    </border>
    <border>
      <left/>
      <right/>
      <top style="thin">
        <color theme="1" tint="0.149937437055574"/>
      </top>
      <bottom style="thin">
        <color theme="1" tint="0.149937437055574"/>
      </bottom>
      <diagonal/>
    </border>
    <border>
      <left/>
      <right style="thin">
        <color theme="1" tint="0.14981536301767"/>
      </right>
      <top style="thin">
        <color theme="1" tint="0.149937437055574"/>
      </top>
      <bottom style="thin">
        <color theme="1" tint="0.149937437055574"/>
      </bottom>
      <diagonal/>
    </border>
    <border>
      <left style="thin">
        <color theme="1" tint="0.149937437055574"/>
      </left>
      <right style="thin">
        <color theme="1" tint="0.149937437055574"/>
      </right>
      <top style="thin">
        <color theme="1" tint="0.149937437055574"/>
      </top>
      <bottom/>
      <diagonal/>
    </border>
    <border>
      <left/>
      <right style="thin">
        <color theme="1" tint="0.149937437055574"/>
      </right>
      <top style="thin">
        <color theme="1" tint="0.149937437055574"/>
      </top>
      <bottom/>
      <diagonal/>
    </border>
    <border>
      <left/>
      <right style="thin">
        <color theme="1" tint="0.14981536301767"/>
      </right>
      <top style="thin">
        <color theme="1"/>
      </top>
      <bottom style="thin">
        <color theme="1" tint="0.14981536301767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 tint="0.14981536301767"/>
      </right>
      <top style="thin">
        <color theme="1"/>
      </top>
      <bottom/>
      <diagonal/>
    </border>
    <border>
      <left style="thin">
        <color theme="1" tint="0.149937437055574"/>
      </left>
      <right/>
      <top/>
      <bottom/>
      <diagonal/>
    </border>
    <border>
      <left/>
      <right style="thin">
        <color theme="1" tint="0.149937437055574"/>
      </right>
      <top/>
      <bottom/>
      <diagonal/>
    </border>
    <border>
      <left/>
      <right/>
      <top/>
      <bottom style="thin">
        <color theme="1" tint="0.14981536301767"/>
      </bottom>
      <diagonal/>
    </border>
    <border>
      <left/>
      <right style="thin">
        <color theme="1" tint="0.14981536301767"/>
      </right>
      <top/>
      <bottom style="thin">
        <color theme="1" tint="0.14981536301767"/>
      </bottom>
      <diagonal/>
    </border>
    <border>
      <left style="thin">
        <color theme="1" tint="0.149937437055574"/>
      </left>
      <right/>
      <top style="thin">
        <color theme="1" tint="0.149937437055574"/>
      </top>
      <bottom style="thin">
        <color theme="1" tint="0.14993743705557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/>
      <top style="thin">
        <color theme="1" tint="0.149937437055574"/>
      </top>
      <bottom style="thin">
        <color theme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 tint="0.14981536301767"/>
      </right>
      <top style="thin">
        <color theme="1" tint="0.149937437055574"/>
      </top>
      <bottom/>
      <diagonal/>
    </border>
    <border>
      <left/>
      <right/>
      <top/>
      <bottom style="thin">
        <color theme="1" tint="0.149937437055574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theme="1" tint="0.149937437055574"/>
      </right>
      <top style="thin">
        <color theme="1" tint="0.149937437055574"/>
      </top>
      <bottom style="thin">
        <color theme="1" tint="0.149937437055574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thin">
        <color theme="1" tint="0.149937437055574"/>
      </left>
      <right/>
      <top/>
      <bottom style="thin">
        <color theme="1" tint="0.149937437055574"/>
      </bottom>
      <diagonal/>
    </border>
    <border>
      <left/>
      <right style="thin">
        <color rgb="FFD9D9D9"/>
      </right>
      <top style="thin">
        <color auto="1"/>
      </top>
      <bottom style="thin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29" borderId="82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83" applyNumberFormat="0" applyFill="0" applyAlignment="0" applyProtection="0">
      <alignment vertical="center"/>
    </xf>
    <xf numFmtId="0" fontId="51" fillId="0" borderId="83" applyNumberFormat="0" applyFill="0" applyAlignment="0" applyProtection="0">
      <alignment vertical="center"/>
    </xf>
    <xf numFmtId="0" fontId="52" fillId="0" borderId="8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30" borderId="85" applyNumberFormat="0" applyAlignment="0" applyProtection="0">
      <alignment vertical="center"/>
    </xf>
    <xf numFmtId="0" fontId="54" fillId="19" borderId="86" applyNumberFormat="0" applyAlignment="0" applyProtection="0">
      <alignment vertical="center"/>
    </xf>
    <xf numFmtId="0" fontId="55" fillId="19" borderId="85" applyNumberFormat="0" applyAlignment="0" applyProtection="0">
      <alignment vertical="center"/>
    </xf>
    <xf numFmtId="0" fontId="56" fillId="31" borderId="87" applyNumberFormat="0" applyAlignment="0" applyProtection="0">
      <alignment vertical="center"/>
    </xf>
    <xf numFmtId="0" fontId="57" fillId="0" borderId="88" applyNumberFormat="0" applyFill="0" applyAlignment="0" applyProtection="0">
      <alignment vertical="center"/>
    </xf>
    <xf numFmtId="0" fontId="58" fillId="0" borderId="89" applyNumberFormat="0" applyFill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62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</cellStyleXfs>
  <cellXfs count="408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2" xfId="0" applyNumberFormat="1" applyBorder="1" applyAlignment="1"/>
    <xf numFmtId="176" fontId="1" fillId="0" borderId="0" xfId="0" applyNumberFormat="1" applyFont="1">
      <alignment vertical="center"/>
    </xf>
    <xf numFmtId="176" fontId="3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76" fontId="1" fillId="0" borderId="0" xfId="0" applyNumberFormat="1" applyFont="1" applyAlignment="1"/>
    <xf numFmtId="176" fontId="4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7" fillId="0" borderId="0" xfId="0" applyFont="1" applyAlignment="1"/>
    <xf numFmtId="0" fontId="8" fillId="2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77" fontId="7" fillId="4" borderId="1" xfId="3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1" xfId="0" applyFont="1" applyFill="1" applyBorder="1" applyAlignme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/>
    <xf numFmtId="176" fontId="8" fillId="2" borderId="1" xfId="0" applyNumberFormat="1" applyFont="1" applyFill="1" applyBorder="1" applyAlignment="1">
      <alignment horizontal="center" vertical="center"/>
    </xf>
    <xf numFmtId="176" fontId="0" fillId="0" borderId="3" xfId="0" applyNumberFormat="1" applyBorder="1" applyAlignment="1"/>
    <xf numFmtId="176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/>
    <xf numFmtId="176" fontId="7" fillId="0" borderId="0" xfId="0" applyNumberFormat="1" applyFont="1">
      <alignment vertical="center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0" xfId="0" applyNumberFormat="1" applyFont="1" applyBorder="1" applyAlignment="1">
      <alignment horizontal="center" vertical="center" wrapText="1"/>
    </xf>
    <xf numFmtId="176" fontId="7" fillId="0" borderId="11" xfId="0" applyNumberFormat="1" applyFont="1" applyBorder="1" applyAlignment="1">
      <alignment horizontal="center" vertical="center" wrapText="1"/>
    </xf>
    <xf numFmtId="176" fontId="7" fillId="0" borderId="12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/>
    </xf>
    <xf numFmtId="176" fontId="7" fillId="0" borderId="13" xfId="0" applyNumberFormat="1" applyFont="1" applyBorder="1" applyAlignment="1">
      <alignment horizontal="center" vertical="center"/>
    </xf>
    <xf numFmtId="176" fontId="8" fillId="2" borderId="14" xfId="0" applyNumberFormat="1" applyFont="1" applyFill="1" applyBorder="1" applyAlignment="1">
      <alignment horizontal="center" vertical="center"/>
    </xf>
    <xf numFmtId="176" fontId="0" fillId="0" borderId="4" xfId="0" applyNumberFormat="1" applyBorder="1" applyAlignment="1"/>
    <xf numFmtId="176" fontId="0" fillId="0" borderId="15" xfId="0" applyNumberFormat="1" applyBorder="1" applyAlignment="1"/>
    <xf numFmtId="176" fontId="10" fillId="0" borderId="5" xfId="0" applyNumberFormat="1" applyFont="1" applyBorder="1" applyAlignment="1">
      <alignment horizontal="center" vertical="center"/>
    </xf>
    <xf numFmtId="176" fontId="7" fillId="0" borderId="16" xfId="0" applyNumberFormat="1" applyFont="1" applyBorder="1" applyAlignment="1"/>
    <xf numFmtId="176" fontId="10" fillId="0" borderId="5" xfId="0" applyNumberFormat="1" applyFont="1" applyBorder="1" applyAlignment="1"/>
    <xf numFmtId="176" fontId="10" fillId="0" borderId="17" xfId="0" applyNumberFormat="1" applyFont="1" applyBorder="1" applyAlignment="1"/>
    <xf numFmtId="176" fontId="7" fillId="0" borderId="18" xfId="0" applyNumberFormat="1" applyFont="1" applyBorder="1" applyAlignment="1"/>
    <xf numFmtId="176" fontId="7" fillId="0" borderId="19" xfId="0" applyNumberFormat="1" applyFont="1" applyBorder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77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176" fontId="11" fillId="5" borderId="20" xfId="0" applyNumberFormat="1" applyFont="1" applyFill="1" applyBorder="1" applyAlignment="1">
      <alignment horizontal="center" vertical="center" wrapText="1"/>
    </xf>
    <xf numFmtId="176" fontId="0" fillId="0" borderId="21" xfId="0" applyNumberFormat="1" applyBorder="1" applyAlignment="1"/>
    <xf numFmtId="176" fontId="0" fillId="0" borderId="22" xfId="0" applyNumberFormat="1" applyBorder="1" applyAlignment="1"/>
    <xf numFmtId="176" fontId="8" fillId="0" borderId="20" xfId="0" applyNumberFormat="1" applyFont="1" applyBorder="1" applyAlignment="1">
      <alignment horizontal="left" vertical="center" wrapText="1"/>
    </xf>
    <xf numFmtId="176" fontId="9" fillId="6" borderId="20" xfId="0" applyNumberFormat="1" applyFont="1" applyFill="1" applyBorder="1" applyAlignment="1">
      <alignment horizontal="center" vertical="center" wrapText="1"/>
    </xf>
    <xf numFmtId="176" fontId="9" fillId="5" borderId="20" xfId="0" applyNumberFormat="1" applyFont="1" applyFill="1" applyBorder="1" applyAlignment="1">
      <alignment horizontal="center" vertical="center" wrapText="1"/>
    </xf>
    <xf numFmtId="176" fontId="9" fillId="5" borderId="23" xfId="0" applyNumberFormat="1" applyFont="1" applyFill="1" applyBorder="1" applyAlignment="1">
      <alignment horizontal="center" vertical="center" wrapText="1"/>
    </xf>
    <xf numFmtId="176" fontId="12" fillId="7" borderId="20" xfId="0" applyNumberFormat="1" applyFont="1" applyFill="1" applyBorder="1" applyAlignment="1">
      <alignment horizontal="center" vertical="center" wrapText="1"/>
    </xf>
    <xf numFmtId="176" fontId="13" fillId="8" borderId="20" xfId="0" applyNumberFormat="1" applyFont="1" applyFill="1" applyBorder="1" applyAlignment="1">
      <alignment horizontal="center" vertical="center" wrapText="1"/>
    </xf>
    <xf numFmtId="176" fontId="14" fillId="0" borderId="0" xfId="3" applyNumberFormat="1" applyFont="1" applyAlignment="1">
      <alignment horizontal="center" vertical="center" wrapText="1"/>
    </xf>
    <xf numFmtId="176" fontId="15" fillId="9" borderId="20" xfId="0" applyNumberFormat="1" applyFont="1" applyFill="1" applyBorder="1" applyAlignment="1">
      <alignment horizontal="left" vertical="top" wrapText="1"/>
    </xf>
    <xf numFmtId="176" fontId="12" fillId="7" borderId="24" xfId="0" applyNumberFormat="1" applyFont="1" applyFill="1" applyBorder="1" applyAlignment="1">
      <alignment horizontal="center" vertical="center" wrapText="1"/>
    </xf>
    <xf numFmtId="176" fontId="15" fillId="9" borderId="25" xfId="0" applyNumberFormat="1" applyFont="1" applyFill="1" applyBorder="1" applyAlignment="1">
      <alignment horizontal="left" vertical="top" wrapText="1"/>
    </xf>
    <xf numFmtId="176" fontId="12" fillId="7" borderId="22" xfId="0" applyNumberFormat="1" applyFont="1" applyFill="1" applyBorder="1" applyAlignment="1">
      <alignment horizontal="center" vertical="center" wrapText="1"/>
    </xf>
    <xf numFmtId="176" fontId="16" fillId="10" borderId="20" xfId="0" applyNumberFormat="1" applyFont="1" applyFill="1" applyBorder="1" applyAlignment="1">
      <alignment horizontal="center" vertical="center" wrapText="1"/>
    </xf>
    <xf numFmtId="176" fontId="12" fillId="11" borderId="20" xfId="0" applyNumberFormat="1" applyFont="1" applyFill="1" applyBorder="1" applyAlignment="1">
      <alignment horizontal="center" vertical="center" wrapText="1"/>
    </xf>
    <xf numFmtId="176" fontId="12" fillId="11" borderId="24" xfId="0" applyNumberFormat="1" applyFont="1" applyFill="1" applyBorder="1" applyAlignment="1">
      <alignment horizontal="center" vertical="center" wrapText="1"/>
    </xf>
    <xf numFmtId="176" fontId="12" fillId="11" borderId="22" xfId="0" applyNumberFormat="1" applyFont="1" applyFill="1" applyBorder="1" applyAlignment="1">
      <alignment horizontal="center" vertical="center" wrapText="1"/>
    </xf>
    <xf numFmtId="176" fontId="0" fillId="0" borderId="0" xfId="3" applyNumberFormat="1" applyAlignment="1">
      <alignment horizontal="center" vertical="center" wrapText="1"/>
    </xf>
    <xf numFmtId="176" fontId="17" fillId="7" borderId="20" xfId="0" applyNumberFormat="1" applyFont="1" applyFill="1" applyBorder="1" applyAlignment="1">
      <alignment horizontal="center" vertical="center" wrapText="1"/>
    </xf>
    <xf numFmtId="176" fontId="12" fillId="7" borderId="22" xfId="0" applyNumberFormat="1" applyFont="1" applyFill="1" applyBorder="1" applyAlignment="1">
      <alignment horizontal="left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12" fillId="8" borderId="20" xfId="0" applyNumberFormat="1" applyFont="1" applyFill="1" applyBorder="1" applyAlignment="1">
      <alignment horizontal="center" vertical="center" wrapText="1"/>
    </xf>
    <xf numFmtId="176" fontId="12" fillId="7" borderId="2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5" borderId="26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0" fillId="0" borderId="26" xfId="0" applyBorder="1" applyAlignment="1"/>
    <xf numFmtId="0" fontId="19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20" fillId="12" borderId="31" xfId="0" applyFont="1" applyFill="1" applyBorder="1" applyAlignment="1">
      <alignment horizontal="center" vertical="center"/>
    </xf>
    <xf numFmtId="0" fontId="21" fillId="0" borderId="30" xfId="0" applyFont="1" applyBorder="1">
      <alignment vertical="center"/>
    </xf>
    <xf numFmtId="0" fontId="21" fillId="0" borderId="30" xfId="0" applyFont="1" applyBorder="1" applyAlignment="1"/>
    <xf numFmtId="0" fontId="19" fillId="5" borderId="32" xfId="0" applyFont="1" applyFill="1" applyBorder="1" applyAlignment="1">
      <alignment horizontal="center" vertical="center"/>
    </xf>
    <xf numFmtId="0" fontId="20" fillId="12" borderId="33" xfId="0" applyFont="1" applyFill="1" applyBorder="1" applyAlignment="1">
      <alignment horizontal="center" vertical="center"/>
    </xf>
    <xf numFmtId="0" fontId="22" fillId="13" borderId="34" xfId="0" applyFont="1" applyFill="1" applyBorder="1" applyAlignment="1">
      <alignment horizontal="left" vertical="center"/>
    </xf>
    <xf numFmtId="0" fontId="0" fillId="0" borderId="35" xfId="0" applyBorder="1" applyAlignment="1"/>
    <xf numFmtId="0" fontId="0" fillId="0" borderId="36" xfId="0" applyBorder="1" applyAlignment="1"/>
    <xf numFmtId="0" fontId="23" fillId="6" borderId="37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protection locked="0"/>
    </xf>
    <xf numFmtId="0" fontId="0" fillId="0" borderId="38" xfId="0" applyBorder="1" applyAlignment="1" applyProtection="1">
      <protection locked="0"/>
    </xf>
    <xf numFmtId="0" fontId="23" fillId="14" borderId="14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15" xfId="0" applyBorder="1" applyAlignment="1"/>
    <xf numFmtId="178" fontId="23" fillId="15" borderId="39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43" xfId="0" applyBorder="1" applyAlignment="1" applyProtection="1">
      <protection locked="0"/>
    </xf>
    <xf numFmtId="0" fontId="0" fillId="0" borderId="5" xfId="0" applyBorder="1" applyAlignment="1"/>
    <xf numFmtId="0" fontId="0" fillId="0" borderId="16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19" fillId="6" borderId="46" xfId="0" applyFont="1" applyFill="1" applyBorder="1" applyAlignment="1">
      <alignment horizontal="center" vertical="center"/>
    </xf>
    <xf numFmtId="0" fontId="19" fillId="6" borderId="30" xfId="0" applyFont="1" applyFill="1" applyBorder="1" applyAlignment="1">
      <alignment horizontal="center" vertical="center"/>
    </xf>
    <xf numFmtId="176" fontId="19" fillId="6" borderId="30" xfId="0" applyNumberFormat="1" applyFont="1" applyFill="1" applyBorder="1" applyAlignment="1" applyProtection="1">
      <alignment horizontal="center" vertical="center"/>
      <protection locked="0"/>
    </xf>
    <xf numFmtId="178" fontId="19" fillId="6" borderId="30" xfId="0" applyNumberFormat="1" applyFont="1" applyFill="1" applyBorder="1" applyAlignment="1">
      <alignment horizontal="center" vertical="center"/>
    </xf>
    <xf numFmtId="176" fontId="19" fillId="6" borderId="30" xfId="0" applyNumberFormat="1" applyFont="1" applyFill="1" applyBorder="1" applyAlignment="1">
      <alignment horizontal="center" vertical="center"/>
    </xf>
    <xf numFmtId="178" fontId="19" fillId="14" borderId="47" xfId="0" applyNumberFormat="1" applyFont="1" applyFill="1" applyBorder="1" applyAlignment="1">
      <alignment horizontal="center" vertical="center" wrapText="1"/>
    </xf>
    <xf numFmtId="178" fontId="19" fillId="14" borderId="4" xfId="0" applyNumberFormat="1" applyFont="1" applyFill="1" applyBorder="1" applyAlignment="1">
      <alignment horizontal="center" vertical="center" wrapText="1"/>
    </xf>
    <xf numFmtId="176" fontId="19" fillId="14" borderId="4" xfId="0" applyNumberFormat="1" applyFont="1" applyFill="1" applyBorder="1" applyAlignment="1">
      <alignment horizontal="center" vertical="center" wrapText="1"/>
    </xf>
    <xf numFmtId="178" fontId="19" fillId="14" borderId="15" xfId="0" applyNumberFormat="1" applyFont="1" applyFill="1" applyBorder="1" applyAlignment="1">
      <alignment horizontal="center" vertical="center" wrapText="1"/>
    </xf>
    <xf numFmtId="178" fontId="19" fillId="16" borderId="48" xfId="0" applyNumberFormat="1" applyFont="1" applyFill="1" applyBorder="1" applyAlignment="1">
      <alignment horizontal="center" vertical="center" wrapText="1"/>
    </xf>
    <xf numFmtId="0" fontId="0" fillId="0" borderId="48" xfId="0" applyBorder="1" applyAlignment="1"/>
    <xf numFmtId="0" fontId="23" fillId="6" borderId="6" xfId="0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24" fillId="17" borderId="29" xfId="0" applyFont="1" applyFill="1" applyBorder="1" applyAlignment="1">
      <alignment horizontal="center" vertical="center"/>
    </xf>
    <xf numFmtId="0" fontId="24" fillId="17" borderId="30" xfId="0" applyFont="1" applyFill="1" applyBorder="1" applyAlignment="1">
      <alignment horizontal="center" vertical="center" wrapText="1"/>
    </xf>
    <xf numFmtId="176" fontId="24" fillId="0" borderId="30" xfId="0" applyNumberFormat="1" applyFont="1" applyBorder="1" applyAlignment="1" applyProtection="1">
      <alignment horizontal="center" vertical="center" wrapText="1"/>
      <protection locked="0"/>
    </xf>
    <xf numFmtId="177" fontId="25" fillId="0" borderId="30" xfId="0" applyNumberFormat="1" applyFont="1" applyBorder="1" applyAlignment="1">
      <alignment horizontal="center" vertical="center"/>
    </xf>
    <xf numFmtId="49" fontId="26" fillId="18" borderId="30" xfId="0" applyNumberFormat="1" applyFont="1" applyFill="1" applyBorder="1" applyAlignment="1">
      <alignment horizontal="center" vertical="center" wrapText="1"/>
    </xf>
    <xf numFmtId="176" fontId="24" fillId="0" borderId="30" xfId="0" applyNumberFormat="1" applyFont="1" applyBorder="1" applyAlignment="1">
      <alignment horizontal="center" vertical="center" wrapText="1"/>
    </xf>
    <xf numFmtId="176" fontId="24" fillId="0" borderId="30" xfId="0" applyNumberFormat="1" applyFont="1" applyBorder="1" applyAlignment="1">
      <alignment horizontal="center" vertical="center"/>
    </xf>
    <xf numFmtId="0" fontId="25" fillId="19" borderId="47" xfId="0" applyFont="1" applyFill="1" applyBorder="1" applyAlignment="1">
      <alignment horizontal="center" vertical="center" wrapText="1"/>
    </xf>
    <xf numFmtId="0" fontId="25" fillId="20" borderId="4" xfId="0" applyFont="1" applyFill="1" applyBorder="1" applyAlignment="1">
      <alignment horizontal="center" vertical="center"/>
    </xf>
    <xf numFmtId="176" fontId="27" fillId="13" borderId="4" xfId="0" applyNumberFormat="1" applyFont="1" applyFill="1" applyBorder="1" applyAlignment="1">
      <alignment horizontal="center" vertical="center" wrapText="1"/>
    </xf>
    <xf numFmtId="176" fontId="27" fillId="21" borderId="4" xfId="0" applyNumberFormat="1" applyFont="1" applyFill="1" applyBorder="1" applyAlignment="1">
      <alignment horizontal="center" vertical="center" wrapText="1"/>
    </xf>
    <xf numFmtId="9" fontId="24" fillId="0" borderId="4" xfId="0" applyNumberFormat="1" applyFont="1" applyBorder="1" applyAlignment="1">
      <alignment horizontal="center" vertical="center" wrapText="1"/>
    </xf>
    <xf numFmtId="179" fontId="19" fillId="14" borderId="4" xfId="0" applyNumberFormat="1" applyFont="1" applyFill="1" applyBorder="1" applyAlignment="1">
      <alignment horizontal="center" vertical="center" wrapText="1"/>
    </xf>
    <xf numFmtId="177" fontId="28" fillId="0" borderId="15" xfId="3" applyNumberFormat="1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 wrapText="1"/>
    </xf>
    <xf numFmtId="0" fontId="0" fillId="0" borderId="49" xfId="0" applyBorder="1" applyAlignment="1"/>
    <xf numFmtId="0" fontId="22" fillId="12" borderId="50" xfId="0" applyFont="1" applyFill="1" applyBorder="1" applyAlignment="1">
      <alignment horizontal="center" vertical="center"/>
    </xf>
    <xf numFmtId="0" fontId="0" fillId="0" borderId="51" xfId="0" applyBorder="1" applyAlignment="1"/>
    <xf numFmtId="0" fontId="27" fillId="17" borderId="29" xfId="0" applyFont="1" applyFill="1" applyBorder="1" applyAlignment="1">
      <alignment horizontal="center" vertical="center" wrapText="1"/>
    </xf>
    <xf numFmtId="0" fontId="27" fillId="17" borderId="35" xfId="0" applyFont="1" applyFill="1" applyBorder="1" applyAlignment="1">
      <alignment horizontal="center" vertical="center" wrapText="1"/>
    </xf>
    <xf numFmtId="176" fontId="27" fillId="0" borderId="35" xfId="0" applyNumberFormat="1" applyFont="1" applyBorder="1" applyAlignment="1" applyProtection="1">
      <alignment horizontal="center" vertical="center" wrapText="1"/>
      <protection locked="0"/>
    </xf>
    <xf numFmtId="0" fontId="25" fillId="0" borderId="35" xfId="0" applyFont="1" applyBorder="1" applyAlignment="1">
      <alignment horizontal="center" vertical="center"/>
    </xf>
    <xf numFmtId="178" fontId="19" fillId="6" borderId="35" xfId="0" applyNumberFormat="1" applyFont="1" applyFill="1" applyBorder="1" applyAlignment="1">
      <alignment horizontal="center" vertical="center" wrapText="1"/>
    </xf>
    <xf numFmtId="49" fontId="26" fillId="18" borderId="35" xfId="0" applyNumberFormat="1" applyFont="1" applyFill="1" applyBorder="1" applyAlignment="1">
      <alignment horizontal="center" vertical="center" wrapText="1"/>
    </xf>
    <xf numFmtId="0" fontId="6" fillId="17" borderId="35" xfId="0" applyFont="1" applyFill="1" applyBorder="1" applyAlignment="1">
      <alignment horizontal="center" vertical="center" wrapText="1"/>
    </xf>
    <xf numFmtId="176" fontId="6" fillId="0" borderId="35" xfId="0" applyNumberFormat="1" applyFont="1" applyBorder="1" applyAlignment="1">
      <alignment horizontal="center" vertical="center" wrapText="1"/>
    </xf>
    <xf numFmtId="179" fontId="25" fillId="0" borderId="35" xfId="0" applyNumberFormat="1" applyFont="1" applyBorder="1" applyAlignment="1">
      <alignment horizontal="center" vertical="center"/>
    </xf>
    <xf numFmtId="178" fontId="19" fillId="6" borderId="3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>
      <alignment horizontal="center" vertical="center" wrapText="1"/>
    </xf>
    <xf numFmtId="0" fontId="25" fillId="20" borderId="0" xfId="0" applyFont="1" applyFill="1" applyBorder="1" applyAlignment="1">
      <alignment horizontal="center" vertical="center"/>
    </xf>
    <xf numFmtId="176" fontId="27" fillId="13" borderId="0" xfId="0" applyNumberFormat="1" applyFont="1" applyFill="1" applyBorder="1" applyAlignment="1">
      <alignment horizontal="center" vertical="center" wrapText="1"/>
    </xf>
    <xf numFmtId="176" fontId="27" fillId="21" borderId="0" xfId="0" applyNumberFormat="1" applyFont="1" applyFill="1" applyBorder="1" applyAlignment="1">
      <alignment horizontal="center" vertical="center" wrapText="1"/>
    </xf>
    <xf numFmtId="9" fontId="24" fillId="0" borderId="0" xfId="0" applyNumberFormat="1" applyFont="1" applyBorder="1" applyAlignment="1">
      <alignment horizontal="center" vertical="center" wrapText="1"/>
    </xf>
    <xf numFmtId="179" fontId="19" fillId="14" borderId="0" xfId="0" applyNumberFormat="1" applyFont="1" applyFill="1" applyBorder="1" applyAlignment="1">
      <alignment horizontal="center" vertical="center" wrapText="1"/>
    </xf>
    <xf numFmtId="177" fontId="28" fillId="0" borderId="16" xfId="3" applyNumberFormat="1" applyFont="1" applyBorder="1" applyAlignment="1">
      <alignment horizontal="center" vertical="center"/>
    </xf>
    <xf numFmtId="0" fontId="24" fillId="19" borderId="52" xfId="0" applyFont="1" applyFill="1" applyBorder="1" applyAlignment="1">
      <alignment horizontal="left" vertical="center" wrapText="1"/>
    </xf>
    <xf numFmtId="0" fontId="0" fillId="0" borderId="53" xfId="0" applyBorder="1" applyAlignment="1"/>
    <xf numFmtId="0" fontId="0" fillId="0" borderId="52" xfId="0" applyBorder="1" applyAlignment="1"/>
    <xf numFmtId="0" fontId="0" fillId="0" borderId="42" xfId="0" applyBorder="1" applyAlignment="1"/>
    <xf numFmtId="176" fontId="6" fillId="0" borderId="35" xfId="0" applyNumberFormat="1" applyFont="1" applyBorder="1" applyAlignment="1" applyProtection="1">
      <alignment horizontal="center" vertical="center" wrapText="1"/>
      <protection locked="0"/>
    </xf>
    <xf numFmtId="177" fontId="25" fillId="0" borderId="35" xfId="0" applyNumberFormat="1" applyFont="1" applyBorder="1" applyAlignment="1">
      <alignment horizontal="center" vertical="center"/>
    </xf>
    <xf numFmtId="0" fontId="19" fillId="6" borderId="35" xfId="0" applyFont="1" applyFill="1" applyBorder="1" applyAlignment="1">
      <alignment horizontal="center" vertical="center" wrapText="1"/>
    </xf>
    <xf numFmtId="0" fontId="6" fillId="17" borderId="35" xfId="0" applyFont="1" applyFill="1" applyBorder="1" applyAlignment="1" applyProtection="1">
      <alignment horizontal="center" vertical="center" wrapText="1"/>
      <protection locked="0"/>
    </xf>
    <xf numFmtId="177" fontId="24" fillId="0" borderId="4" xfId="0" applyNumberFormat="1" applyFont="1" applyBorder="1" applyAlignment="1">
      <alignment horizontal="center" vertical="center" wrapText="1"/>
    </xf>
    <xf numFmtId="0" fontId="22" fillId="22" borderId="18" xfId="0" applyFont="1" applyFill="1" applyBorder="1" applyAlignment="1">
      <alignment horizontal="center" vertical="center" wrapText="1"/>
    </xf>
    <xf numFmtId="0" fontId="29" fillId="22" borderId="18" xfId="0" applyFont="1" applyFill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180" fontId="25" fillId="0" borderId="35" xfId="0" applyNumberFormat="1" applyFont="1" applyBorder="1" applyAlignment="1">
      <alignment horizontal="center" vertical="center"/>
    </xf>
    <xf numFmtId="0" fontId="27" fillId="17" borderId="35" xfId="0" applyFont="1" applyFill="1" applyBorder="1" applyAlignment="1" applyProtection="1">
      <alignment horizontal="center" vertical="center" wrapText="1"/>
      <protection locked="0"/>
    </xf>
    <xf numFmtId="176" fontId="27" fillId="0" borderId="35" xfId="0" applyNumberFormat="1" applyFont="1" applyBorder="1" applyAlignment="1">
      <alignment horizontal="center" vertical="center" wrapText="1"/>
    </xf>
    <xf numFmtId="0" fontId="25" fillId="20" borderId="18" xfId="0" applyFont="1" applyFill="1" applyBorder="1" applyAlignment="1">
      <alignment horizontal="center" vertical="center"/>
    </xf>
    <xf numFmtId="176" fontId="27" fillId="13" borderId="18" xfId="0" applyNumberFormat="1" applyFont="1" applyFill="1" applyBorder="1" applyAlignment="1">
      <alignment horizontal="center" vertical="center" wrapText="1"/>
    </xf>
    <xf numFmtId="176" fontId="27" fillId="21" borderId="18" xfId="0" applyNumberFormat="1" applyFont="1" applyFill="1" applyBorder="1" applyAlignment="1">
      <alignment horizontal="center" vertical="center" wrapText="1"/>
    </xf>
    <xf numFmtId="177" fontId="24" fillId="0" borderId="18" xfId="0" applyNumberFormat="1" applyFont="1" applyBorder="1" applyAlignment="1">
      <alignment horizontal="center" vertical="center" wrapText="1"/>
    </xf>
    <xf numFmtId="179" fontId="19" fillId="14" borderId="18" xfId="0" applyNumberFormat="1" applyFont="1" applyFill="1" applyBorder="1" applyAlignment="1">
      <alignment horizontal="center" vertical="center" wrapText="1"/>
    </xf>
    <xf numFmtId="177" fontId="28" fillId="0" borderId="19" xfId="3" applyNumberFormat="1" applyFont="1" applyBorder="1" applyAlignment="1">
      <alignment horizontal="center" vertical="center"/>
    </xf>
    <xf numFmtId="0" fontId="0" fillId="0" borderId="18" xfId="0" applyBorder="1" applyAlignment="1"/>
    <xf numFmtId="0" fontId="0" fillId="0" borderId="54" xfId="0" applyBorder="1" applyAlignment="1"/>
    <xf numFmtId="0" fontId="6" fillId="17" borderId="0" xfId="0" applyFont="1" applyFill="1" applyAlignment="1">
      <alignment horizontal="center" vertical="center" wrapText="1"/>
    </xf>
    <xf numFmtId="176" fontId="6" fillId="0" borderId="0" xfId="0" applyNumberFormat="1" applyFont="1" applyAlignment="1" applyProtection="1">
      <alignment horizontal="center" vertical="center" wrapText="1"/>
      <protection locked="0"/>
    </xf>
    <xf numFmtId="176" fontId="27" fillId="0" borderId="0" xfId="0" applyNumberFormat="1" applyFont="1" applyAlignment="1" applyProtection="1">
      <alignment horizontal="center" vertical="center" wrapText="1"/>
      <protection locked="0"/>
    </xf>
    <xf numFmtId="179" fontId="25" fillId="0" borderId="0" xfId="0" applyNumberFormat="1" applyFont="1" applyAlignment="1">
      <alignment horizontal="center" vertical="center"/>
    </xf>
    <xf numFmtId="178" fontId="19" fillId="6" borderId="0" xfId="0" applyNumberFormat="1" applyFont="1" applyFill="1" applyAlignment="1">
      <alignment horizontal="center" vertical="center" wrapText="1"/>
    </xf>
    <xf numFmtId="49" fontId="26" fillId="18" borderId="0" xfId="0" applyNumberFormat="1" applyFont="1" applyFill="1" applyAlignment="1">
      <alignment horizontal="center" vertical="center" wrapText="1"/>
    </xf>
    <xf numFmtId="0" fontId="27" fillId="17" borderId="0" xfId="0" applyFont="1" applyFill="1" applyAlignment="1" applyProtection="1">
      <alignment horizontal="center" vertical="center" wrapText="1"/>
      <protection locked="0"/>
    </xf>
    <xf numFmtId="176" fontId="27" fillId="0" borderId="0" xfId="0" applyNumberFormat="1" applyFont="1" applyAlignment="1">
      <alignment horizontal="center" vertical="center" wrapText="1"/>
    </xf>
    <xf numFmtId="177" fontId="25" fillId="0" borderId="0" xfId="0" applyNumberFormat="1" applyFont="1" applyAlignment="1">
      <alignment horizontal="center" vertical="center"/>
    </xf>
    <xf numFmtId="178" fontId="19" fillId="6" borderId="0" xfId="0" applyNumberFormat="1" applyFont="1" applyFill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/>
    </xf>
    <xf numFmtId="0" fontId="6" fillId="17" borderId="30" xfId="0" applyFont="1" applyFill="1" applyBorder="1" applyAlignment="1">
      <alignment horizontal="center" vertical="center" wrapText="1"/>
    </xf>
    <xf numFmtId="176" fontId="6" fillId="0" borderId="30" xfId="0" applyNumberFormat="1" applyFont="1" applyBorder="1" applyAlignment="1" applyProtection="1">
      <alignment horizontal="center" vertical="center" wrapText="1"/>
      <protection locked="0"/>
    </xf>
    <xf numFmtId="0" fontId="25" fillId="0" borderId="30" xfId="0" applyFont="1" applyBorder="1" applyAlignment="1">
      <alignment horizontal="center" vertical="center"/>
    </xf>
    <xf numFmtId="0" fontId="19" fillId="6" borderId="30" xfId="0" applyFont="1" applyFill="1" applyBorder="1" applyAlignment="1">
      <alignment horizontal="center" vertical="center" wrapText="1"/>
    </xf>
    <xf numFmtId="49" fontId="26" fillId="18" borderId="55" xfId="0" applyNumberFormat="1" applyFont="1" applyFill="1" applyBorder="1" applyAlignment="1">
      <alignment horizontal="center" vertical="center" wrapText="1"/>
    </xf>
    <xf numFmtId="0" fontId="6" fillId="17" borderId="30" xfId="0" applyFont="1" applyFill="1" applyBorder="1" applyAlignment="1" applyProtection="1">
      <alignment horizontal="center" vertical="center" wrapText="1"/>
      <protection locked="0"/>
    </xf>
    <xf numFmtId="176" fontId="6" fillId="0" borderId="30" xfId="0" applyNumberFormat="1" applyFont="1" applyBorder="1" applyAlignment="1">
      <alignment horizontal="center" vertical="center" wrapText="1"/>
    </xf>
    <xf numFmtId="178" fontId="25" fillId="0" borderId="30" xfId="0" applyNumberFormat="1" applyFont="1" applyBorder="1" applyAlignment="1">
      <alignment horizontal="center" vertical="center"/>
    </xf>
    <xf numFmtId="0" fontId="0" fillId="0" borderId="17" xfId="0" applyBorder="1" applyAlignment="1"/>
    <xf numFmtId="178" fontId="19" fillId="6" borderId="30" xfId="0" applyNumberFormat="1" applyFont="1" applyFill="1" applyBorder="1" applyAlignment="1">
      <alignment horizontal="center" vertical="center" wrapText="1"/>
    </xf>
    <xf numFmtId="0" fontId="27" fillId="23" borderId="30" xfId="0" applyFont="1" applyFill="1" applyBorder="1" applyAlignment="1" applyProtection="1">
      <alignment horizontal="center" vertical="center" wrapText="1"/>
      <protection locked="0"/>
    </xf>
    <xf numFmtId="0" fontId="22" fillId="22" borderId="4" xfId="0" applyFont="1" applyFill="1" applyBorder="1" applyAlignment="1">
      <alignment horizontal="center" vertical="center" wrapText="1"/>
    </xf>
    <xf numFmtId="0" fontId="29" fillId="22" borderId="4" xfId="0" applyFont="1" applyFill="1" applyBorder="1" applyAlignment="1">
      <alignment horizontal="center" vertical="center" wrapText="1"/>
    </xf>
    <xf numFmtId="179" fontId="24" fillId="0" borderId="56" xfId="0" applyNumberFormat="1" applyFont="1" applyBorder="1" applyAlignment="1">
      <alignment horizontal="center" vertical="center" wrapText="1"/>
    </xf>
    <xf numFmtId="0" fontId="0" fillId="0" borderId="6" xfId="0" applyBorder="1" applyAlignment="1"/>
    <xf numFmtId="0" fontId="19" fillId="6" borderId="57" xfId="0" applyFont="1" applyFill="1" applyBorder="1" applyAlignment="1">
      <alignment horizontal="center" vertical="center"/>
    </xf>
    <xf numFmtId="176" fontId="27" fillId="24" borderId="4" xfId="0" applyNumberFormat="1" applyFont="1" applyFill="1" applyBorder="1" applyAlignment="1">
      <alignment horizontal="center" vertical="center" wrapText="1"/>
    </xf>
    <xf numFmtId="0" fontId="22" fillId="22" borderId="49" xfId="0" applyFont="1" applyFill="1" applyBorder="1" applyAlignment="1">
      <alignment horizontal="center" vertical="center" wrapText="1"/>
    </xf>
    <xf numFmtId="0" fontId="29" fillId="22" borderId="49" xfId="0" applyFont="1" applyFill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0" fontId="25" fillId="17" borderId="29" xfId="0" applyFont="1" applyFill="1" applyBorder="1" applyAlignment="1">
      <alignment horizontal="center" vertical="center"/>
    </xf>
    <xf numFmtId="0" fontId="25" fillId="17" borderId="30" xfId="0" applyFont="1" applyFill="1" applyBorder="1" applyAlignment="1">
      <alignment horizontal="center" vertical="center"/>
    </xf>
    <xf numFmtId="176" fontId="25" fillId="0" borderId="30" xfId="0" applyNumberFormat="1" applyFont="1" applyBorder="1" applyAlignment="1" applyProtection="1">
      <alignment horizontal="center" vertical="center"/>
      <protection locked="0"/>
    </xf>
    <xf numFmtId="0" fontId="6" fillId="17" borderId="30" xfId="0" applyFont="1" applyFill="1" applyBorder="1" applyAlignment="1" applyProtection="1">
      <alignment horizontal="center" vertical="center"/>
      <protection locked="0"/>
    </xf>
    <xf numFmtId="176" fontId="6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5" fillId="20" borderId="58" xfId="0" applyFont="1" applyFill="1" applyBorder="1" applyAlignment="1">
      <alignment horizontal="center" vertical="center"/>
    </xf>
    <xf numFmtId="176" fontId="27" fillId="24" borderId="58" xfId="0" applyNumberFormat="1" applyFont="1" applyFill="1" applyBorder="1" applyAlignment="1">
      <alignment horizontal="center" vertical="center" wrapText="1"/>
    </xf>
    <xf numFmtId="176" fontId="27" fillId="21" borderId="58" xfId="0" applyNumberFormat="1" applyFont="1" applyFill="1" applyBorder="1" applyAlignment="1">
      <alignment horizontal="center" vertical="center" wrapText="1"/>
    </xf>
    <xf numFmtId="9" fontId="24" fillId="0" borderId="58" xfId="0" applyNumberFormat="1" applyFont="1" applyBorder="1" applyAlignment="1">
      <alignment horizontal="center" vertical="center" wrapText="1"/>
    </xf>
    <xf numFmtId="179" fontId="19" fillId="14" borderId="58" xfId="0" applyNumberFormat="1" applyFont="1" applyFill="1" applyBorder="1" applyAlignment="1">
      <alignment horizontal="center" vertical="center" wrapText="1"/>
    </xf>
    <xf numFmtId="177" fontId="28" fillId="0" borderId="59" xfId="3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left" vertical="center" wrapText="1"/>
    </xf>
    <xf numFmtId="0" fontId="0" fillId="0" borderId="60" xfId="0" applyBorder="1" applyAlignment="1"/>
    <xf numFmtId="0" fontId="25" fillId="17" borderId="30" xfId="0" applyFont="1" applyFill="1" applyBorder="1" applyAlignment="1">
      <alignment horizontal="center" vertical="center" wrapText="1"/>
    </xf>
    <xf numFmtId="176" fontId="25" fillId="0" borderId="30" xfId="0" applyNumberFormat="1" applyFont="1" applyBorder="1" applyAlignment="1" applyProtection="1">
      <alignment horizontal="center" vertical="center" wrapText="1"/>
      <protection locked="0"/>
    </xf>
    <xf numFmtId="0" fontId="25" fillId="25" borderId="61" xfId="0" applyFont="1" applyFill="1" applyBorder="1" applyAlignment="1" applyProtection="1">
      <alignment horizontal="center" vertical="center"/>
      <protection locked="0"/>
    </xf>
    <xf numFmtId="176" fontId="27" fillId="24" borderId="0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Border="1" applyAlignment="1" applyProtection="1">
      <alignment horizontal="center" vertical="center" wrapText="1"/>
      <protection locked="0"/>
    </xf>
    <xf numFmtId="0" fontId="28" fillId="0" borderId="16" xfId="0" applyFont="1" applyBorder="1" applyAlignment="1">
      <alignment horizontal="center" vertical="center" wrapText="1"/>
    </xf>
    <xf numFmtId="0" fontId="0" fillId="0" borderId="0" xfId="0" applyBorder="1" applyAlignment="1"/>
    <xf numFmtId="0" fontId="25" fillId="17" borderId="29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/>
    </xf>
    <xf numFmtId="0" fontId="1" fillId="0" borderId="30" xfId="0" applyFont="1" applyBorder="1" applyAlignment="1">
      <alignment vertical="center" wrapText="1"/>
    </xf>
    <xf numFmtId="176" fontId="0" fillId="0" borderId="0" xfId="0" applyNumberFormat="1" applyAlignment="1" applyProtection="1">
      <alignment horizontal="center" vertical="center"/>
      <protection locked="0"/>
    </xf>
    <xf numFmtId="176" fontId="0" fillId="0" borderId="0" xfId="0" applyNumberFormat="1" applyAlignment="1" applyProtection="1">
      <protection locked="0"/>
    </xf>
    <xf numFmtId="0" fontId="0" fillId="0" borderId="62" xfId="0" applyBorder="1" applyAlignment="1"/>
    <xf numFmtId="0" fontId="25" fillId="19" borderId="17" xfId="0" applyFont="1" applyFill="1" applyBorder="1" applyAlignment="1">
      <alignment horizontal="center" vertical="center" wrapText="1"/>
    </xf>
    <xf numFmtId="176" fontId="27" fillId="24" borderId="18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18" xfId="0" applyFont="1" applyBorder="1" applyAlignment="1" applyProtection="1">
      <alignment horizontal="center" vertical="center" wrapText="1"/>
      <protection locked="0"/>
    </xf>
    <xf numFmtId="0" fontId="28" fillId="0" borderId="19" xfId="0" applyFont="1" applyBorder="1" applyAlignment="1">
      <alignment horizontal="center" vertical="center" wrapText="1"/>
    </xf>
    <xf numFmtId="176" fontId="27" fillId="0" borderId="30" xfId="0" applyNumberFormat="1" applyFont="1" applyBorder="1" applyAlignment="1" applyProtection="1">
      <alignment horizontal="center" vertical="center" wrapText="1"/>
      <protection locked="0"/>
    </xf>
    <xf numFmtId="0" fontId="24" fillId="0" borderId="35" xfId="0" applyFont="1" applyBorder="1" applyAlignment="1">
      <alignment horizontal="center" vertical="center" wrapText="1"/>
    </xf>
    <xf numFmtId="0" fontId="19" fillId="14" borderId="60" xfId="0" applyFont="1" applyFill="1" applyBorder="1" applyAlignment="1">
      <alignment horizontal="center" vertical="center" wrapText="1"/>
    </xf>
    <xf numFmtId="0" fontId="24" fillId="19" borderId="63" xfId="0" applyFont="1" applyFill="1" applyBorder="1" applyAlignment="1">
      <alignment horizontal="left" vertical="center" wrapText="1"/>
    </xf>
    <xf numFmtId="0" fontId="25" fillId="13" borderId="47" xfId="0" applyFont="1" applyFill="1" applyBorder="1" applyAlignment="1">
      <alignment horizontal="center" vertical="center"/>
    </xf>
    <xf numFmtId="0" fontId="27" fillId="13" borderId="4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vertical="center" wrapText="1"/>
    </xf>
    <xf numFmtId="0" fontId="27" fillId="13" borderId="15" xfId="0" applyFont="1" applyFill="1" applyBorder="1" applyAlignment="1">
      <alignment horizontal="center" vertical="center" wrapText="1"/>
    </xf>
    <xf numFmtId="0" fontId="24" fillId="22" borderId="18" xfId="0" applyFont="1" applyFill="1" applyBorder="1" applyAlignment="1">
      <alignment horizontal="center" vertical="center" wrapText="1"/>
    </xf>
    <xf numFmtId="181" fontId="6" fillId="0" borderId="54" xfId="0" applyNumberFormat="1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5" fillId="13" borderId="64" xfId="0" applyFont="1" applyFill="1" applyBorder="1" applyAlignment="1">
      <alignment horizontal="center" vertical="center"/>
    </xf>
    <xf numFmtId="0" fontId="27" fillId="13" borderId="58" xfId="0" applyFont="1" applyFill="1" applyBorder="1" applyAlignment="1">
      <alignment horizontal="center" vertical="center" wrapText="1"/>
    </xf>
    <xf numFmtId="0" fontId="27" fillId="13" borderId="58" xfId="0" applyFont="1" applyFill="1" applyBorder="1" applyAlignment="1">
      <alignment vertical="center" wrapText="1"/>
    </xf>
    <xf numFmtId="0" fontId="27" fillId="13" borderId="59" xfId="0" applyFont="1" applyFill="1" applyBorder="1" applyAlignment="1">
      <alignment horizontal="center" vertical="center" wrapText="1"/>
    </xf>
    <xf numFmtId="0" fontId="31" fillId="26" borderId="65" xfId="0" applyFont="1" applyFill="1" applyBorder="1" applyAlignment="1">
      <alignment horizontal="center" vertical="center"/>
    </xf>
    <xf numFmtId="0" fontId="32" fillId="26" borderId="66" xfId="0" applyFont="1" applyFill="1" applyBorder="1" applyAlignment="1">
      <alignment horizontal="center" vertical="center" wrapText="1"/>
    </xf>
    <xf numFmtId="0" fontId="32" fillId="26" borderId="66" xfId="0" applyFont="1" applyFill="1" applyBorder="1" applyAlignment="1">
      <alignment vertical="center" wrapText="1"/>
    </xf>
    <xf numFmtId="0" fontId="32" fillId="26" borderId="67" xfId="0" applyFont="1" applyFill="1" applyBorder="1" applyAlignment="1">
      <alignment horizontal="center" vertical="center" wrapText="1"/>
    </xf>
    <xf numFmtId="0" fontId="24" fillId="22" borderId="4" xfId="0" applyFont="1" applyFill="1" applyBorder="1" applyAlignment="1">
      <alignment horizontal="center" vertical="center" wrapText="1"/>
    </xf>
    <xf numFmtId="177" fontId="6" fillId="0" borderId="56" xfId="0" applyNumberFormat="1" applyFont="1" applyBorder="1" applyAlignment="1">
      <alignment horizontal="center" vertical="center" wrapText="1"/>
    </xf>
    <xf numFmtId="0" fontId="27" fillId="17" borderId="46" xfId="0" applyFont="1" applyFill="1" applyBorder="1" applyAlignment="1">
      <alignment horizontal="center" vertical="center" wrapText="1"/>
    </xf>
    <xf numFmtId="176" fontId="25" fillId="0" borderId="35" xfId="0" applyNumberFormat="1" applyFont="1" applyBorder="1" applyAlignment="1" applyProtection="1">
      <alignment horizontal="center" vertical="center"/>
      <protection locked="0"/>
    </xf>
    <xf numFmtId="0" fontId="1" fillId="0" borderId="68" xfId="0" applyFont="1" applyBorder="1" applyAlignment="1">
      <alignment vertical="center" wrapText="1"/>
    </xf>
    <xf numFmtId="0" fontId="31" fillId="26" borderId="5" xfId="0" applyFont="1" applyFill="1" applyBorder="1" applyAlignment="1">
      <alignment horizontal="center" vertical="center"/>
    </xf>
    <xf numFmtId="0" fontId="32" fillId="26" borderId="0" xfId="0" applyFont="1" applyFill="1" applyBorder="1" applyAlignment="1">
      <alignment horizontal="center" vertical="center" wrapText="1"/>
    </xf>
    <xf numFmtId="0" fontId="32" fillId="26" borderId="0" xfId="0" applyFont="1" applyFill="1" applyBorder="1" applyAlignment="1">
      <alignment vertical="center" wrapText="1"/>
    </xf>
    <xf numFmtId="0" fontId="32" fillId="26" borderId="16" xfId="0" applyFont="1" applyFill="1" applyBorder="1" applyAlignment="1">
      <alignment horizontal="center" vertical="center" wrapText="1"/>
    </xf>
    <xf numFmtId="0" fontId="30" fillId="0" borderId="69" xfId="0" applyFont="1" applyBorder="1" applyAlignment="1">
      <alignment horizontal="left" vertical="center" wrapText="1"/>
    </xf>
    <xf numFmtId="0" fontId="0" fillId="0" borderId="70" xfId="0" applyBorder="1" applyAlignment="1"/>
    <xf numFmtId="0" fontId="0" fillId="0" borderId="69" xfId="0" applyBorder="1" applyAlignment="1"/>
    <xf numFmtId="0" fontId="0" fillId="0" borderId="71" xfId="0" applyBorder="1" applyAlignment="1"/>
    <xf numFmtId="176" fontId="0" fillId="0" borderId="62" xfId="0" applyNumberFormat="1" applyBorder="1" applyAlignment="1" applyProtection="1">
      <protection locked="0"/>
    </xf>
    <xf numFmtId="0" fontId="33" fillId="13" borderId="4" xfId="0" applyFont="1" applyFill="1" applyBorder="1" applyAlignment="1">
      <alignment horizontal="center" vertical="center" wrapText="1"/>
    </xf>
    <xf numFmtId="0" fontId="33" fillId="13" borderId="15" xfId="0" applyFont="1" applyFill="1" applyBorder="1" applyAlignment="1">
      <alignment horizontal="center" vertical="center" wrapText="1"/>
    </xf>
    <xf numFmtId="178" fontId="19" fillId="15" borderId="19" xfId="0" applyNumberFormat="1" applyFont="1" applyFill="1" applyBorder="1" applyAlignment="1">
      <alignment horizontal="center" vertical="center" wrapText="1"/>
    </xf>
    <xf numFmtId="0" fontId="23" fillId="6" borderId="57" xfId="0" applyFont="1" applyFill="1" applyBorder="1" applyAlignment="1">
      <alignment horizontal="center" vertical="center"/>
    </xf>
    <xf numFmtId="178" fontId="18" fillId="6" borderId="2" xfId="0" applyNumberFormat="1" applyFont="1" applyFill="1" applyBorder="1" applyAlignment="1">
      <alignment horizontal="center" vertical="center" wrapText="1"/>
    </xf>
    <xf numFmtId="0" fontId="25" fillId="13" borderId="17" xfId="0" applyFont="1" applyFill="1" applyBorder="1" applyAlignment="1">
      <alignment horizontal="center" vertical="center"/>
    </xf>
    <xf numFmtId="0" fontId="27" fillId="13" borderId="18" xfId="0" applyFont="1" applyFill="1" applyBorder="1" applyAlignment="1">
      <alignment horizontal="center" vertical="center" wrapText="1"/>
    </xf>
    <xf numFmtId="0" fontId="27" fillId="13" borderId="18" xfId="0" applyFont="1" applyFill="1" applyBorder="1" applyAlignment="1">
      <alignment vertical="center" wrapText="1"/>
    </xf>
    <xf numFmtId="0" fontId="33" fillId="13" borderId="0" xfId="0" applyFont="1" applyFill="1" applyBorder="1" applyAlignment="1">
      <alignment horizontal="center" vertical="center" wrapText="1"/>
    </xf>
    <xf numFmtId="0" fontId="33" fillId="13" borderId="16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24" fillId="19" borderId="72" xfId="0" applyFont="1" applyFill="1" applyBorder="1" applyAlignment="1">
      <alignment horizontal="left" vertical="center" wrapText="1"/>
    </xf>
    <xf numFmtId="0" fontId="0" fillId="0" borderId="72" xfId="0" applyBorder="1" applyAlignment="1"/>
    <xf numFmtId="0" fontId="25" fillId="17" borderId="17" xfId="0" applyFont="1" applyFill="1" applyBorder="1" applyAlignment="1">
      <alignment horizontal="center" vertical="center"/>
    </xf>
    <xf numFmtId="0" fontId="34" fillId="17" borderId="5" xfId="0" applyFont="1" applyFill="1" applyBorder="1" applyAlignment="1">
      <alignment horizontal="left" vertical="center"/>
    </xf>
    <xf numFmtId="0" fontId="35" fillId="0" borderId="0" xfId="0" applyFont="1" applyAlignment="1" applyProtection="1">
      <alignment vertical="center" wrapText="1"/>
      <protection hidden="1"/>
    </xf>
    <xf numFmtId="0" fontId="35" fillId="0" borderId="16" xfId="0" applyFont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protection hidden="1"/>
    </xf>
    <xf numFmtId="0" fontId="0" fillId="0" borderId="0" xfId="0" applyBorder="1" applyAlignment="1" applyProtection="1">
      <protection hidden="1"/>
    </xf>
    <xf numFmtId="0" fontId="31" fillId="26" borderId="17" xfId="0" applyFont="1" applyFill="1" applyBorder="1" applyAlignment="1">
      <alignment horizontal="center" vertical="center"/>
    </xf>
    <xf numFmtId="0" fontId="32" fillId="26" borderId="18" xfId="0" applyFont="1" applyFill="1" applyBorder="1" applyAlignment="1">
      <alignment horizontal="center" vertical="center" wrapText="1"/>
    </xf>
    <xf numFmtId="0" fontId="32" fillId="26" borderId="18" xfId="0" applyFont="1" applyFill="1" applyBorder="1" applyAlignment="1">
      <alignment vertical="center" wrapText="1"/>
    </xf>
    <xf numFmtId="0" fontId="33" fillId="13" borderId="18" xfId="0" applyFont="1" applyFill="1" applyBorder="1" applyAlignment="1">
      <alignment horizontal="center" vertical="center" wrapText="1"/>
    </xf>
    <xf numFmtId="0" fontId="33" fillId="13" borderId="19" xfId="0" applyFont="1" applyFill="1" applyBorder="1" applyAlignment="1">
      <alignment horizontal="center" vertical="center" wrapText="1"/>
    </xf>
    <xf numFmtId="0" fontId="36" fillId="16" borderId="3" xfId="0" applyFont="1" applyFill="1" applyBorder="1" applyAlignment="1">
      <alignment horizontal="center" vertical="center" wrapText="1"/>
    </xf>
    <xf numFmtId="0" fontId="36" fillId="16" borderId="2" xfId="0" applyFont="1" applyFill="1" applyBorder="1" applyAlignment="1">
      <alignment horizontal="center" vertical="center" wrapText="1"/>
    </xf>
    <xf numFmtId="0" fontId="34" fillId="17" borderId="17" xfId="0" applyFont="1" applyFill="1" applyBorder="1" applyAlignment="1">
      <alignment horizontal="left" vertical="center"/>
    </xf>
    <xf numFmtId="0" fontId="35" fillId="0" borderId="18" xfId="0" applyFont="1" applyBorder="1" applyAlignment="1" applyProtection="1">
      <alignment vertical="center" wrapText="1"/>
      <protection hidden="1"/>
    </xf>
    <xf numFmtId="0" fontId="35" fillId="0" borderId="19" xfId="0" applyFont="1" applyBorder="1" applyAlignment="1" applyProtection="1">
      <alignment horizontal="left" vertical="center" wrapText="1"/>
      <protection hidden="1"/>
    </xf>
    <xf numFmtId="0" fontId="0" fillId="0" borderId="18" xfId="0" applyBorder="1" applyAlignment="1" applyProtection="1">
      <protection hidden="1"/>
    </xf>
    <xf numFmtId="0" fontId="25" fillId="13" borderId="5" xfId="0" applyFont="1" applyFill="1" applyBorder="1" applyAlignment="1">
      <alignment horizontal="center" vertical="center"/>
    </xf>
    <xf numFmtId="0" fontId="27" fillId="13" borderId="0" xfId="0" applyFont="1" applyFill="1" applyBorder="1" applyAlignment="1">
      <alignment horizontal="center" vertical="center" wrapText="1"/>
    </xf>
    <xf numFmtId="0" fontId="27" fillId="13" borderId="0" xfId="0" applyFont="1" applyFill="1" applyBorder="1" applyAlignment="1">
      <alignment vertical="center" wrapText="1"/>
    </xf>
    <xf numFmtId="0" fontId="27" fillId="13" borderId="16" xfId="0" applyFont="1" applyFill="1" applyBorder="1" applyAlignment="1">
      <alignment horizontal="center" vertical="center" wrapText="1"/>
    </xf>
    <xf numFmtId="3" fontId="27" fillId="21" borderId="15" xfId="0" applyNumberFormat="1" applyFont="1" applyFill="1" applyBorder="1" applyAlignment="1">
      <alignment horizontal="center" vertical="center" wrapText="1"/>
    </xf>
    <xf numFmtId="0" fontId="25" fillId="17" borderId="57" xfId="0" applyFont="1" applyFill="1" applyBorder="1" applyAlignment="1">
      <alignment horizontal="center" vertical="center"/>
    </xf>
    <xf numFmtId="0" fontId="34" fillId="17" borderId="47" xfId="0" applyFont="1" applyFill="1" applyBorder="1" applyAlignment="1">
      <alignment horizontal="left" vertical="center"/>
    </xf>
    <xf numFmtId="0" fontId="35" fillId="0" borderId="4" xfId="0" applyFont="1" applyBorder="1" applyAlignment="1" applyProtection="1">
      <alignment vertical="center" wrapText="1"/>
      <protection hidden="1"/>
    </xf>
    <xf numFmtId="0" fontId="35" fillId="0" borderId="15" xfId="0" applyFont="1" applyBorder="1" applyAlignment="1" applyProtection="1">
      <alignment horizontal="left" vertical="center" wrapText="1"/>
      <protection hidden="1"/>
    </xf>
    <xf numFmtId="0" fontId="0" fillId="0" borderId="4" xfId="0" applyBorder="1" applyAlignment="1" applyProtection="1">
      <protection hidden="1"/>
    </xf>
    <xf numFmtId="0" fontId="27" fillId="13" borderId="19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center" vertical="center" wrapText="1"/>
    </xf>
    <xf numFmtId="3" fontId="27" fillId="21" borderId="2" xfId="0" applyNumberFormat="1" applyFont="1" applyFill="1" applyBorder="1" applyAlignment="1">
      <alignment horizontal="center" vertical="center" wrapText="1"/>
    </xf>
    <xf numFmtId="0" fontId="32" fillId="26" borderId="73" xfId="0" applyFont="1" applyFill="1" applyBorder="1" applyAlignment="1">
      <alignment vertical="center" wrapText="1"/>
    </xf>
    <xf numFmtId="0" fontId="32" fillId="26" borderId="74" xfId="0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32" fillId="26" borderId="19" xfId="0" applyFont="1" applyFill="1" applyBorder="1" applyAlignment="1">
      <alignment horizontal="center" vertical="center" wrapText="1"/>
    </xf>
    <xf numFmtId="0" fontId="0" fillId="0" borderId="16" xfId="0" applyBorder="1" applyAlignment="1" applyProtection="1">
      <protection hidden="1"/>
    </xf>
    <xf numFmtId="0" fontId="19" fillId="14" borderId="57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3" fontId="27" fillId="21" borderId="19" xfId="0" applyNumberFormat="1" applyFont="1" applyFill="1" applyBorder="1" applyAlignment="1">
      <alignment horizontal="center" vertical="center" wrapText="1"/>
    </xf>
    <xf numFmtId="0" fontId="32" fillId="26" borderId="18" xfId="0" applyFont="1" applyFill="1" applyBorder="1" applyAlignment="1">
      <alignment horizontal="center" vertical="center"/>
    </xf>
    <xf numFmtId="0" fontId="31" fillId="26" borderId="18" xfId="0" applyFont="1" applyFill="1" applyBorder="1" applyAlignment="1">
      <alignment horizontal="center" vertical="center"/>
    </xf>
    <xf numFmtId="46" fontId="32" fillId="26" borderId="18" xfId="0" applyNumberFormat="1" applyFont="1" applyFill="1" applyBorder="1" applyAlignment="1">
      <alignment horizontal="center" vertical="center"/>
    </xf>
    <xf numFmtId="46" fontId="32" fillId="26" borderId="19" xfId="0" applyNumberFormat="1" applyFont="1" applyFill="1" applyBorder="1" applyAlignment="1">
      <alignment horizontal="center" vertical="center"/>
    </xf>
    <xf numFmtId="0" fontId="37" fillId="21" borderId="2" xfId="0" applyFont="1" applyFill="1" applyBorder="1" applyAlignment="1">
      <alignment vertical="center" wrapText="1"/>
    </xf>
    <xf numFmtId="0" fontId="36" fillId="27" borderId="75" xfId="0" applyFont="1" applyFill="1" applyBorder="1" applyAlignment="1">
      <alignment horizontal="center" vertical="center"/>
    </xf>
    <xf numFmtId="0" fontId="36" fillId="27" borderId="66" xfId="0" applyFont="1" applyFill="1" applyBorder="1" applyAlignment="1">
      <alignment horizontal="center" vertical="center"/>
    </xf>
    <xf numFmtId="0" fontId="36" fillId="27" borderId="76" xfId="0" applyFont="1" applyFill="1" applyBorder="1" applyAlignment="1">
      <alignment horizontal="center" vertical="center"/>
    </xf>
    <xf numFmtId="0" fontId="22" fillId="22" borderId="0" xfId="0" applyFont="1" applyFill="1" applyAlignment="1">
      <alignment horizontal="center" vertical="center" wrapText="1"/>
    </xf>
    <xf numFmtId="0" fontId="37" fillId="21" borderId="16" xfId="0" applyFont="1" applyFill="1" applyBorder="1" applyAlignment="1">
      <alignment vertical="center" wrapText="1"/>
    </xf>
    <xf numFmtId="0" fontId="38" fillId="28" borderId="47" xfId="0" applyFont="1" applyFill="1" applyBorder="1" applyAlignment="1">
      <alignment horizontal="center" vertical="center" wrapText="1"/>
    </xf>
    <xf numFmtId="0" fontId="38" fillId="28" borderId="4" xfId="0" applyFont="1" applyFill="1" applyBorder="1" applyAlignment="1">
      <alignment horizontal="center" vertical="center" wrapText="1"/>
    </xf>
    <xf numFmtId="0" fontId="39" fillId="7" borderId="4" xfId="0" applyFont="1" applyFill="1" applyBorder="1" applyAlignment="1">
      <alignment horizontal="center" vertical="center" wrapText="1"/>
    </xf>
    <xf numFmtId="0" fontId="39" fillId="7" borderId="15" xfId="0" applyFont="1" applyFill="1" applyBorder="1" applyAlignment="1">
      <alignment horizontal="center" vertical="center" wrapText="1"/>
    </xf>
    <xf numFmtId="0" fontId="24" fillId="19" borderId="50" xfId="0" applyFont="1" applyFill="1" applyBorder="1" applyAlignment="1">
      <alignment horizontal="left" vertical="center" wrapText="1"/>
    </xf>
    <xf numFmtId="0" fontId="0" fillId="0" borderId="50" xfId="0" applyBorder="1" applyAlignment="1"/>
    <xf numFmtId="0" fontId="38" fillId="28" borderId="17" xfId="0" applyFont="1" applyFill="1" applyBorder="1" applyAlignment="1">
      <alignment horizontal="center" vertical="center" wrapText="1"/>
    </xf>
    <xf numFmtId="0" fontId="38" fillId="28" borderId="18" xfId="0" applyFont="1" applyFill="1" applyBorder="1" applyAlignment="1">
      <alignment horizontal="center" vertical="center" wrapText="1"/>
    </xf>
    <xf numFmtId="0" fontId="39" fillId="7" borderId="18" xfId="0" applyFont="1" applyFill="1" applyBorder="1" applyAlignment="1">
      <alignment horizontal="center" vertical="center" wrapText="1"/>
    </xf>
    <xf numFmtId="0" fontId="39" fillId="7" borderId="19" xfId="0" applyFont="1" applyFill="1" applyBorder="1" applyAlignment="1">
      <alignment horizontal="center" vertical="center" wrapText="1"/>
    </xf>
    <xf numFmtId="0" fontId="24" fillId="22" borderId="0" xfId="0" applyFont="1" applyFill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24" fillId="22" borderId="49" xfId="0" applyFont="1" applyFill="1" applyBorder="1" applyAlignment="1">
      <alignment horizontal="center" vertical="center" wrapText="1"/>
    </xf>
    <xf numFmtId="177" fontId="6" fillId="0" borderId="50" xfId="0" applyNumberFormat="1" applyFont="1" applyBorder="1" applyAlignment="1">
      <alignment horizontal="center" vertical="center" wrapText="1"/>
    </xf>
    <xf numFmtId="0" fontId="24" fillId="22" borderId="53" xfId="0" applyFont="1" applyFill="1" applyBorder="1" applyAlignment="1">
      <alignment horizontal="center" vertical="center" wrapText="1"/>
    </xf>
    <xf numFmtId="2" fontId="6" fillId="0" borderId="52" xfId="0" applyNumberFormat="1" applyFont="1" applyBorder="1" applyAlignment="1">
      <alignment horizontal="center" vertical="center" wrapText="1"/>
    </xf>
    <xf numFmtId="0" fontId="24" fillId="19" borderId="19" xfId="0" applyFont="1" applyFill="1" applyBorder="1" applyAlignment="1">
      <alignment horizontal="center" vertical="center" wrapText="1"/>
    </xf>
    <xf numFmtId="0" fontId="34" fillId="17" borderId="57" xfId="0" applyFont="1" applyFill="1" applyBorder="1" applyAlignment="1">
      <alignment horizontal="left" vertical="center"/>
    </xf>
    <xf numFmtId="0" fontId="35" fillId="0" borderId="3" xfId="0" applyFont="1" applyBorder="1" applyAlignment="1" applyProtection="1">
      <alignment vertical="center" wrapText="1"/>
      <protection hidden="1"/>
    </xf>
    <xf numFmtId="0" fontId="35" fillId="0" borderId="2" xfId="0" applyFont="1" applyBorder="1" applyAlignment="1" applyProtection="1">
      <alignment horizontal="left" vertical="center" wrapText="1"/>
      <protection hidden="1"/>
    </xf>
    <xf numFmtId="0" fontId="0" fillId="0" borderId="3" xfId="0" applyBorder="1" applyAlignment="1" applyProtection="1">
      <protection hidden="1"/>
    </xf>
    <xf numFmtId="0" fontId="24" fillId="0" borderId="19" xfId="0" applyFont="1" applyBorder="1" applyAlignment="1">
      <alignment horizontal="center" vertical="center"/>
    </xf>
    <xf numFmtId="0" fontId="38" fillId="28" borderId="5" xfId="0" applyFont="1" applyFill="1" applyBorder="1" applyAlignment="1">
      <alignment horizontal="center" vertical="center" wrapText="1"/>
    </xf>
    <xf numFmtId="0" fontId="38" fillId="28" borderId="0" xfId="0" applyFont="1" applyFill="1" applyBorder="1" applyAlignment="1">
      <alignment horizontal="center" vertical="center" wrapText="1"/>
    </xf>
    <xf numFmtId="0" fontId="39" fillId="7" borderId="0" xfId="0" applyFont="1" applyFill="1" applyBorder="1" applyAlignment="1">
      <alignment horizontal="center" vertical="center" wrapText="1"/>
    </xf>
    <xf numFmtId="0" fontId="39" fillId="7" borderId="16" xfId="0" applyFont="1" applyFill="1" applyBorder="1" applyAlignment="1">
      <alignment horizontal="center" vertical="center" wrapText="1"/>
    </xf>
    <xf numFmtId="0" fontId="35" fillId="0" borderId="18" xfId="0" applyFont="1" applyBorder="1" applyProtection="1">
      <alignment vertical="center"/>
      <protection hidden="1"/>
    </xf>
    <xf numFmtId="9" fontId="0" fillId="0" borderId="0" xfId="0" applyNumberFormat="1" applyAlignment="1"/>
    <xf numFmtId="0" fontId="40" fillId="0" borderId="0" xfId="0" applyFont="1" applyAlignment="1"/>
    <xf numFmtId="0" fontId="41" fillId="0" borderId="0" xfId="0" applyFont="1" applyAlignment="1"/>
    <xf numFmtId="1" fontId="40" fillId="0" borderId="0" xfId="0" applyNumberFormat="1" applyFont="1" applyAlignment="1"/>
    <xf numFmtId="181" fontId="40" fillId="0" borderId="0" xfId="0" applyNumberFormat="1" applyFont="1" applyAlignment="1"/>
    <xf numFmtId="0" fontId="42" fillId="21" borderId="0" xfId="0" applyFont="1" applyFill="1">
      <alignment vertical="center"/>
    </xf>
    <xf numFmtId="0" fontId="43" fillId="5" borderId="1" xfId="0" applyFont="1" applyFill="1" applyBorder="1" applyAlignment="1">
      <alignment horizontal="center" vertical="center"/>
    </xf>
    <xf numFmtId="0" fontId="42" fillId="21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center" vertical="center"/>
    </xf>
    <xf numFmtId="0" fontId="42" fillId="21" borderId="1" xfId="0" applyFont="1" applyFill="1" applyBorder="1" applyAlignment="1">
      <alignment horizontal="center" vertical="center"/>
    </xf>
    <xf numFmtId="0" fontId="42" fillId="21" borderId="1" xfId="0" applyFont="1" applyFill="1" applyBorder="1" applyAlignment="1">
      <alignment horizontal="left" vertical="center"/>
    </xf>
    <xf numFmtId="0" fontId="42" fillId="21" borderId="1" xfId="0" applyFont="1" applyFill="1" applyBorder="1" applyAlignment="1">
      <alignment horizontal="center" vertical="center" wrapText="1"/>
    </xf>
    <xf numFmtId="0" fontId="42" fillId="21" borderId="14" xfId="0" applyFont="1" applyFill="1" applyBorder="1" applyAlignment="1">
      <alignment horizontal="center" vertical="center"/>
    </xf>
    <xf numFmtId="0" fontId="42" fillId="21" borderId="6" xfId="0" applyFont="1" applyFill="1" applyBorder="1" applyAlignment="1">
      <alignment horizontal="center" vertical="center"/>
    </xf>
    <xf numFmtId="0" fontId="44" fillId="21" borderId="14" xfId="0" applyFont="1" applyFill="1" applyBorder="1" applyAlignment="1">
      <alignment horizontal="center" vertical="center"/>
    </xf>
    <xf numFmtId="0" fontId="42" fillId="21" borderId="77" xfId="0" applyFont="1" applyFill="1" applyBorder="1" applyAlignment="1">
      <alignment horizontal="center" vertical="center"/>
    </xf>
    <xf numFmtId="0" fontId="42" fillId="21" borderId="2" xfId="0" applyFont="1" applyFill="1" applyBorder="1" applyAlignment="1">
      <alignment horizontal="center" vertical="center"/>
    </xf>
    <xf numFmtId="0" fontId="0" fillId="0" borderId="78" xfId="0" applyBorder="1" applyAlignment="1"/>
    <xf numFmtId="0" fontId="0" fillId="0" borderId="79" xfId="0" applyBorder="1" applyAlignment="1"/>
    <xf numFmtId="0" fontId="42" fillId="21" borderId="80" xfId="0" applyFont="1" applyFill="1" applyBorder="1" applyAlignment="1">
      <alignment horizontal="center" vertical="center"/>
    </xf>
    <xf numFmtId="0" fontId="0" fillId="0" borderId="81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64770</xdr:colOff>
      <xdr:row>0</xdr:row>
      <xdr:rowOff>64770</xdr:rowOff>
    </xdr:from>
    <xdr:to>
      <xdr:col>0</xdr:col>
      <xdr:colOff>1022350</xdr:colOff>
      <xdr:row>1</xdr:row>
      <xdr:rowOff>563880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770" y="64770"/>
          <a:ext cx="957580" cy="10325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echat\xwechat_files\wxid_2bza7rcj7sb912_346d\msg\file\2026-07\&#12304;&#38632;&#34425;&#25968;&#25454;&#24211;&#12305;&#32463;&#38144;&#21830;&#21160;&#24577;&#35786;&#26029;&#34920;_06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填写说明"/>
      <sheetName val="动态诊断表"/>
      <sheetName val="数据底稿1"/>
      <sheetName val="数据底稿2"/>
    </sheetNames>
    <sheetDataSet>
      <sheetData sheetId="0"/>
      <sheetData sheetId="1"/>
      <sheetData sheetId="2"/>
      <sheetData sheetId="3">
        <row r="30">
          <cell r="B30" t="str">
            <v>竞争格局：区域领先，占据优势</v>
          </cell>
        </row>
        <row r="31">
          <cell r="B31" t="str">
            <v>竞争格局：势均力敌，激烈胶着</v>
          </cell>
        </row>
        <row r="32">
          <cell r="B32" t="str">
            <v>竞争格局：我弱敌强，处于追赶</v>
          </cell>
        </row>
        <row r="33">
          <cell r="B33" t="str">
            <v>竞争格局：敌强我弱，面临压制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4"/>
  <sheetViews>
    <sheetView zoomScale="62" zoomScaleNormal="62" topLeftCell="A10" workbookViewId="0">
      <selection activeCell="E17" sqref="E17"/>
    </sheetView>
  </sheetViews>
  <sheetFormatPr defaultColWidth="9" defaultRowHeight="21.5" outlineLevelCol="4"/>
  <cols>
    <col min="1" max="1" width="25.4545454545455" style="392" customWidth="1"/>
    <col min="2" max="2" width="32.2727272727273" style="392" customWidth="1"/>
    <col min="3" max="3" width="25.8181818181818" style="392" customWidth="1"/>
    <col min="4" max="4" width="126.363636363636" style="392" customWidth="1"/>
    <col min="5" max="5" width="108.727272727273" style="392" customWidth="1"/>
    <col min="6" max="6" width="9" style="392" customWidth="1"/>
    <col min="7" max="16384" width="9" style="392"/>
  </cols>
  <sheetData>
    <row r="1" ht="48" customHeight="1" spans="1:5">
      <c r="A1" s="393" t="s">
        <v>0</v>
      </c>
      <c r="B1" s="18"/>
      <c r="C1" s="18"/>
      <c r="D1" s="18"/>
      <c r="E1" s="19"/>
    </row>
    <row r="2" ht="50" customHeight="1" spans="1:5">
      <c r="A2" s="394" t="s">
        <v>1</v>
      </c>
      <c r="B2" s="18"/>
      <c r="C2" s="18"/>
      <c r="D2" s="18"/>
      <c r="E2" s="19"/>
    </row>
    <row r="3" ht="29" customHeight="1" spans="1:5">
      <c r="A3" s="395" t="s">
        <v>2</v>
      </c>
      <c r="B3" s="395" t="s">
        <v>3</v>
      </c>
      <c r="C3" s="395" t="s">
        <v>4</v>
      </c>
      <c r="D3" s="395" t="s">
        <v>5</v>
      </c>
      <c r="E3" s="395" t="s">
        <v>6</v>
      </c>
    </row>
    <row r="4" spans="1:5">
      <c r="A4" s="396" t="s">
        <v>7</v>
      </c>
      <c r="B4" s="396" t="s">
        <v>8</v>
      </c>
      <c r="C4" s="396" t="s">
        <v>9</v>
      </c>
      <c r="D4" s="396" t="s">
        <v>10</v>
      </c>
      <c r="E4" s="397" t="s">
        <v>11</v>
      </c>
    </row>
    <row r="5" ht="24" customHeight="1" spans="1:5">
      <c r="A5" s="396"/>
      <c r="B5" s="396" t="s">
        <v>12</v>
      </c>
      <c r="C5" s="396" t="s">
        <v>9</v>
      </c>
      <c r="D5" s="396" t="s">
        <v>13</v>
      </c>
      <c r="E5" s="397" t="s">
        <v>14</v>
      </c>
    </row>
    <row r="6" spans="1:5">
      <c r="A6" s="396" t="s">
        <v>15</v>
      </c>
      <c r="B6" s="396" t="s">
        <v>16</v>
      </c>
      <c r="C6" s="396" t="s">
        <v>17</v>
      </c>
      <c r="D6" s="396" t="s">
        <v>18</v>
      </c>
      <c r="E6" s="397" t="s">
        <v>19</v>
      </c>
    </row>
    <row r="7" ht="48" customHeight="1" spans="1:5">
      <c r="A7" s="160"/>
      <c r="B7" s="396" t="s">
        <v>20</v>
      </c>
      <c r="C7" s="396" t="s">
        <v>9</v>
      </c>
      <c r="D7" s="396" t="s">
        <v>21</v>
      </c>
      <c r="E7" s="394" t="s">
        <v>22</v>
      </c>
    </row>
    <row r="8" spans="1:5">
      <c r="A8" s="160"/>
      <c r="B8" s="396" t="s">
        <v>23</v>
      </c>
      <c r="C8" s="396" t="s">
        <v>24</v>
      </c>
      <c r="D8" s="396" t="s">
        <v>25</v>
      </c>
      <c r="E8" s="397" t="s">
        <v>26</v>
      </c>
    </row>
    <row r="9" ht="48" customHeight="1" spans="1:5">
      <c r="A9" s="160"/>
      <c r="B9" s="396" t="s">
        <v>27</v>
      </c>
      <c r="C9" s="396" t="s">
        <v>9</v>
      </c>
      <c r="D9" s="396" t="s">
        <v>28</v>
      </c>
      <c r="E9" s="394" t="s">
        <v>29</v>
      </c>
    </row>
    <row r="10" ht="47" customHeight="1" spans="1:5">
      <c r="A10" s="160"/>
      <c r="B10" s="396" t="s">
        <v>30</v>
      </c>
      <c r="C10" s="396" t="s">
        <v>31</v>
      </c>
      <c r="D10" s="396" t="s">
        <v>32</v>
      </c>
      <c r="E10" s="394" t="s">
        <v>33</v>
      </c>
    </row>
    <row r="11" ht="93" customHeight="1" spans="1:5">
      <c r="A11" s="160"/>
      <c r="B11" s="396" t="s">
        <v>34</v>
      </c>
      <c r="C11" s="396" t="s">
        <v>35</v>
      </c>
      <c r="D11" s="398" t="s">
        <v>36</v>
      </c>
      <c r="E11" s="394" t="s">
        <v>37</v>
      </c>
    </row>
    <row r="12" ht="70" customHeight="1" spans="1:5">
      <c r="A12" s="160"/>
      <c r="B12" s="396" t="s">
        <v>38</v>
      </c>
      <c r="C12" s="396" t="s">
        <v>39</v>
      </c>
      <c r="D12" s="396" t="s">
        <v>40</v>
      </c>
      <c r="E12" s="394" t="s">
        <v>41</v>
      </c>
    </row>
    <row r="13" spans="1:5">
      <c r="A13" s="227"/>
      <c r="B13" s="396" t="s">
        <v>42</v>
      </c>
      <c r="C13" s="396" t="s">
        <v>9</v>
      </c>
      <c r="D13" s="396" t="s">
        <v>43</v>
      </c>
      <c r="E13" s="397" t="s">
        <v>11</v>
      </c>
    </row>
    <row r="14" spans="1:5">
      <c r="A14" s="399" t="s">
        <v>44</v>
      </c>
      <c r="B14" s="396" t="s">
        <v>45</v>
      </c>
      <c r="C14" s="396" t="s">
        <v>35</v>
      </c>
      <c r="D14" s="396" t="s">
        <v>46</v>
      </c>
      <c r="E14" s="397" t="s">
        <v>47</v>
      </c>
    </row>
    <row r="15" spans="1:5">
      <c r="A15" s="160"/>
      <c r="B15" s="396" t="s">
        <v>48</v>
      </c>
      <c r="C15" s="396" t="s">
        <v>39</v>
      </c>
      <c r="D15" s="396" t="s">
        <v>49</v>
      </c>
      <c r="E15" s="397" t="s">
        <v>50</v>
      </c>
    </row>
    <row r="16" spans="1:5">
      <c r="A16" s="396" t="s">
        <v>51</v>
      </c>
      <c r="B16" s="396" t="s">
        <v>52</v>
      </c>
      <c r="C16" s="396" t="s">
        <v>17</v>
      </c>
      <c r="D16" s="396" t="s">
        <v>53</v>
      </c>
      <c r="E16" s="397" t="s">
        <v>54</v>
      </c>
    </row>
    <row r="17" spans="1:5">
      <c r="A17" s="396" t="s">
        <v>55</v>
      </c>
      <c r="B17" s="396" t="s">
        <v>56</v>
      </c>
      <c r="C17" s="396" t="s">
        <v>17</v>
      </c>
      <c r="D17" s="396" t="s">
        <v>57</v>
      </c>
      <c r="E17" s="397" t="s">
        <v>58</v>
      </c>
    </row>
    <row r="18" ht="70" customHeight="1" spans="1:5">
      <c r="A18" s="396" t="s">
        <v>59</v>
      </c>
      <c r="B18" s="396" t="s">
        <v>60</v>
      </c>
      <c r="C18" s="396" t="s">
        <v>61</v>
      </c>
      <c r="D18" s="396" t="s">
        <v>62</v>
      </c>
      <c r="E18" s="394" t="s">
        <v>63</v>
      </c>
    </row>
    <row r="19" spans="1:5">
      <c r="A19" s="160"/>
      <c r="B19" s="396" t="s">
        <v>64</v>
      </c>
      <c r="C19" s="396" t="s">
        <v>65</v>
      </c>
      <c r="D19" s="396" t="s">
        <v>66</v>
      </c>
      <c r="E19" s="397" t="s">
        <v>47</v>
      </c>
    </row>
    <row r="20" spans="1:5">
      <c r="A20" s="160"/>
      <c r="B20" s="396" t="s">
        <v>67</v>
      </c>
      <c r="C20" s="396" t="s">
        <v>65</v>
      </c>
      <c r="D20" s="396" t="s">
        <v>68</v>
      </c>
      <c r="E20" s="397" t="s">
        <v>69</v>
      </c>
    </row>
    <row r="21" ht="88" customHeight="1" spans="1:5">
      <c r="A21" s="227"/>
      <c r="B21" s="396" t="s">
        <v>70</v>
      </c>
      <c r="C21" s="396" t="s">
        <v>71</v>
      </c>
      <c r="D21" s="396" t="s">
        <v>72</v>
      </c>
      <c r="E21" s="394" t="s">
        <v>73</v>
      </c>
    </row>
    <row r="22" ht="66" customHeight="1" spans="1:5">
      <c r="A22" s="396" t="s">
        <v>74</v>
      </c>
      <c r="B22" s="396" t="s">
        <v>75</v>
      </c>
      <c r="C22" s="400" t="s">
        <v>76</v>
      </c>
      <c r="D22" s="396" t="s">
        <v>72</v>
      </c>
      <c r="E22" s="394" t="s">
        <v>77</v>
      </c>
    </row>
    <row r="23" ht="132" customHeight="1" spans="1:5">
      <c r="A23" s="160"/>
      <c r="B23" s="396" t="s">
        <v>78</v>
      </c>
      <c r="C23" s="160"/>
      <c r="D23" s="396" t="s">
        <v>72</v>
      </c>
      <c r="E23" s="394" t="s">
        <v>79</v>
      </c>
    </row>
    <row r="24" ht="88" customHeight="1" spans="1:5">
      <c r="A24" s="227"/>
      <c r="B24" s="396" t="s">
        <v>80</v>
      </c>
      <c r="C24" s="227"/>
      <c r="D24" s="396" t="s">
        <v>72</v>
      </c>
      <c r="E24" s="394" t="s">
        <v>81</v>
      </c>
    </row>
    <row r="26" ht="45" customHeight="1" spans="1:5">
      <c r="A26" s="393" t="s">
        <v>82</v>
      </c>
      <c r="B26" s="18"/>
      <c r="C26" s="18"/>
      <c r="D26" s="18"/>
      <c r="E26" s="19"/>
    </row>
    <row r="27" ht="33" customHeight="1" spans="1:5">
      <c r="A27" s="395" t="s">
        <v>2</v>
      </c>
      <c r="B27" s="395" t="s">
        <v>3</v>
      </c>
      <c r="C27" s="395" t="s">
        <v>4</v>
      </c>
      <c r="D27" s="395" t="s">
        <v>5</v>
      </c>
      <c r="E27" s="395" t="s">
        <v>6</v>
      </c>
    </row>
    <row r="28" spans="1:5">
      <c r="A28" s="396" t="s">
        <v>15</v>
      </c>
      <c r="B28" s="396" t="s">
        <v>83</v>
      </c>
      <c r="C28" s="396" t="s">
        <v>9</v>
      </c>
      <c r="D28" s="396" t="s">
        <v>84</v>
      </c>
      <c r="E28" s="397" t="s">
        <v>85</v>
      </c>
    </row>
    <row r="29" spans="1:5">
      <c r="A29" s="227"/>
      <c r="B29" s="396" t="s">
        <v>86</v>
      </c>
      <c r="C29" s="396" t="s">
        <v>9</v>
      </c>
      <c r="D29" s="396" t="s">
        <v>87</v>
      </c>
      <c r="E29" s="397" t="s">
        <v>88</v>
      </c>
    </row>
    <row r="30" spans="1:5">
      <c r="A30" s="396" t="s">
        <v>44</v>
      </c>
      <c r="B30" s="396" t="s">
        <v>89</v>
      </c>
      <c r="C30" s="396" t="s">
        <v>9</v>
      </c>
      <c r="D30" s="396" t="s">
        <v>90</v>
      </c>
      <c r="E30" s="397" t="s">
        <v>91</v>
      </c>
    </row>
    <row r="31" spans="1:5">
      <c r="A31" s="396" t="s">
        <v>92</v>
      </c>
      <c r="B31" s="396" t="s">
        <v>93</v>
      </c>
      <c r="C31" s="396" t="s">
        <v>9</v>
      </c>
      <c r="D31" s="396" t="s">
        <v>94</v>
      </c>
      <c r="E31" s="397" t="s">
        <v>95</v>
      </c>
    </row>
    <row r="32" spans="1:5">
      <c r="A32" s="160"/>
      <c r="B32" s="396" t="s">
        <v>96</v>
      </c>
      <c r="C32" s="396" t="s">
        <v>97</v>
      </c>
      <c r="D32" s="396" t="s">
        <v>98</v>
      </c>
      <c r="E32" s="397" t="s">
        <v>99</v>
      </c>
    </row>
    <row r="33" spans="1:5">
      <c r="A33" s="227"/>
      <c r="B33" s="396" t="s">
        <v>100</v>
      </c>
      <c r="C33" s="396" t="s">
        <v>101</v>
      </c>
      <c r="D33" s="396" t="s">
        <v>102</v>
      </c>
      <c r="E33" s="397" t="s">
        <v>103</v>
      </c>
    </row>
    <row r="34" spans="1:5">
      <c r="A34" s="396" t="s">
        <v>104</v>
      </c>
      <c r="B34" s="396" t="s">
        <v>105</v>
      </c>
      <c r="C34" s="396" t="s">
        <v>106</v>
      </c>
      <c r="D34" s="396" t="s">
        <v>107</v>
      </c>
      <c r="E34" s="397" t="s">
        <v>108</v>
      </c>
    </row>
    <row r="35" spans="1:5">
      <c r="A35" s="227"/>
      <c r="B35" s="396" t="s">
        <v>109</v>
      </c>
      <c r="C35" s="396" t="s">
        <v>106</v>
      </c>
      <c r="D35" s="396" t="s">
        <v>110</v>
      </c>
      <c r="E35" s="397" t="s">
        <v>99</v>
      </c>
    </row>
    <row r="36" spans="1:5">
      <c r="A36" s="396" t="s">
        <v>111</v>
      </c>
      <c r="B36" s="396" t="s">
        <v>38</v>
      </c>
      <c r="C36" s="396" t="s">
        <v>112</v>
      </c>
      <c r="D36" s="396" t="s">
        <v>113</v>
      </c>
      <c r="E36" s="397" t="s">
        <v>114</v>
      </c>
    </row>
    <row r="39" ht="45" customHeight="1" spans="1:5">
      <c r="A39" s="393" t="s">
        <v>115</v>
      </c>
      <c r="B39" s="18"/>
      <c r="C39" s="18"/>
      <c r="D39" s="18"/>
      <c r="E39" s="19"/>
    </row>
    <row r="40" ht="35" customHeight="1" spans="1:5">
      <c r="A40" s="401" t="s">
        <v>2</v>
      </c>
      <c r="B40" s="395" t="s">
        <v>3</v>
      </c>
      <c r="C40" s="395" t="s">
        <v>4</v>
      </c>
      <c r="D40" s="395" t="s">
        <v>5</v>
      </c>
      <c r="E40" s="395" t="s">
        <v>6</v>
      </c>
    </row>
    <row r="41" spans="1:5">
      <c r="A41" s="402" t="s">
        <v>116</v>
      </c>
      <c r="B41" s="403" t="s">
        <v>117</v>
      </c>
      <c r="C41" s="396" t="s">
        <v>24</v>
      </c>
      <c r="D41" s="396" t="s">
        <v>118</v>
      </c>
      <c r="E41" s="397" t="s">
        <v>119</v>
      </c>
    </row>
    <row r="42" spans="1:5">
      <c r="A42" s="404"/>
      <c r="B42" s="403" t="s">
        <v>120</v>
      </c>
      <c r="C42" s="396" t="s">
        <v>24</v>
      </c>
      <c r="D42" s="396" t="s">
        <v>121</v>
      </c>
      <c r="E42" s="397" t="s">
        <v>122</v>
      </c>
    </row>
    <row r="43" spans="1:5">
      <c r="A43" s="404"/>
      <c r="B43" s="403" t="s">
        <v>123</v>
      </c>
      <c r="C43" s="396" t="s">
        <v>9</v>
      </c>
      <c r="D43" s="396" t="s">
        <v>124</v>
      </c>
      <c r="E43" s="397" t="s">
        <v>125</v>
      </c>
    </row>
    <row r="44" spans="1:5">
      <c r="A44" s="404"/>
      <c r="B44" s="403" t="s">
        <v>126</v>
      </c>
      <c r="C44" s="396" t="s">
        <v>9</v>
      </c>
      <c r="D44" s="396" t="s">
        <v>127</v>
      </c>
      <c r="E44" s="397" t="s">
        <v>125</v>
      </c>
    </row>
    <row r="45" spans="1:5">
      <c r="A45" s="405"/>
      <c r="B45" s="403" t="s">
        <v>128</v>
      </c>
      <c r="C45" s="396" t="s">
        <v>129</v>
      </c>
      <c r="D45" s="396" t="s">
        <v>130</v>
      </c>
      <c r="E45" s="397" t="s">
        <v>125</v>
      </c>
    </row>
    <row r="46" spans="1:5">
      <c r="A46" s="406" t="s">
        <v>131</v>
      </c>
      <c r="B46" s="403" t="s">
        <v>132</v>
      </c>
      <c r="C46" s="396" t="s">
        <v>133</v>
      </c>
      <c r="D46" s="396" t="s">
        <v>134</v>
      </c>
      <c r="E46" s="397" t="s">
        <v>135</v>
      </c>
    </row>
    <row r="47" spans="1:5">
      <c r="A47" s="404"/>
      <c r="B47" s="403" t="s">
        <v>136</v>
      </c>
      <c r="C47" s="396" t="s">
        <v>137</v>
      </c>
      <c r="D47" s="396" t="s">
        <v>138</v>
      </c>
      <c r="E47" s="397" t="s">
        <v>139</v>
      </c>
    </row>
    <row r="48" spans="1:5">
      <c r="A48" s="404"/>
      <c r="B48" s="403" t="s">
        <v>140</v>
      </c>
      <c r="C48" s="396" t="s">
        <v>141</v>
      </c>
      <c r="D48" s="396" t="s">
        <v>142</v>
      </c>
      <c r="E48" s="397" t="s">
        <v>143</v>
      </c>
    </row>
    <row r="49" ht="47" customHeight="1" spans="1:5">
      <c r="A49" s="404"/>
      <c r="B49" s="403" t="s">
        <v>144</v>
      </c>
      <c r="C49" s="396" t="s">
        <v>145</v>
      </c>
      <c r="D49" s="398" t="s">
        <v>146</v>
      </c>
      <c r="E49" s="394" t="s">
        <v>147</v>
      </c>
    </row>
    <row r="50" spans="1:5">
      <c r="A50" s="404"/>
      <c r="B50" s="403" t="s">
        <v>148</v>
      </c>
      <c r="C50" s="396" t="s">
        <v>24</v>
      </c>
      <c r="D50" s="396" t="s">
        <v>149</v>
      </c>
      <c r="E50" s="397" t="s">
        <v>150</v>
      </c>
    </row>
    <row r="51" spans="1:5">
      <c r="A51" s="404"/>
      <c r="B51" s="403" t="s">
        <v>151</v>
      </c>
      <c r="C51" s="396" t="s">
        <v>24</v>
      </c>
      <c r="D51" s="396" t="s">
        <v>152</v>
      </c>
      <c r="E51" s="397" t="s">
        <v>125</v>
      </c>
    </row>
    <row r="52" spans="1:5">
      <c r="A52" s="407"/>
      <c r="B52" s="403" t="s">
        <v>153</v>
      </c>
      <c r="C52" s="396" t="s">
        <v>9</v>
      </c>
      <c r="D52" s="396" t="s">
        <v>154</v>
      </c>
      <c r="E52" s="397" t="s">
        <v>125</v>
      </c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</sheetData>
  <mergeCells count="14">
    <mergeCell ref="A1:E1"/>
    <mergeCell ref="A2:E2"/>
    <mergeCell ref="A26:E26"/>
    <mergeCell ref="A39:E39"/>
    <mergeCell ref="A6:A13"/>
    <mergeCell ref="A14:A15"/>
    <mergeCell ref="A18:A21"/>
    <mergeCell ref="A22:A24"/>
    <mergeCell ref="A28:A29"/>
    <mergeCell ref="A31:A33"/>
    <mergeCell ref="A34:A35"/>
    <mergeCell ref="A41:A45"/>
    <mergeCell ref="A46:A52"/>
    <mergeCell ref="C22:C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55"/>
  <sheetViews>
    <sheetView tabSelected="1" zoomScale="50" zoomScaleNormal="50" workbookViewId="0">
      <selection activeCell="I18" sqref="I18:O19"/>
    </sheetView>
  </sheetViews>
  <sheetFormatPr defaultColWidth="9" defaultRowHeight="14"/>
  <cols>
    <col min="1" max="1" width="16.2727272727273" style="97" customWidth="1"/>
    <col min="2" max="2" width="13.4545454545455" style="97" customWidth="1"/>
    <col min="3" max="3" width="19.3636363636364" style="97" customWidth="1"/>
    <col min="4" max="4" width="28.2727272727273" style="98" customWidth="1"/>
    <col min="5" max="5" width="19.3636363636364" style="98" customWidth="1"/>
    <col min="6" max="6" width="10.1818181818182" style="97" customWidth="1"/>
    <col min="7" max="7" width="20.4545454545455" style="97" customWidth="1"/>
    <col min="8" max="8" width="13.6363636363636" style="99" customWidth="1"/>
    <col min="9" max="9" width="23.1818181818182" style="97" customWidth="1"/>
    <col min="10" max="10" width="32.5454545454545" style="97" customWidth="1"/>
    <col min="11" max="11" width="31" style="97" customWidth="1"/>
    <col min="12" max="12" width="10.1818181818182" style="97" customWidth="1"/>
    <col min="13" max="13" width="21.3636363636364" style="97" customWidth="1"/>
    <col min="14" max="14" width="13.3636363636364" style="97" customWidth="1"/>
    <col min="15" max="15" width="28" style="97" customWidth="1"/>
    <col min="16" max="16" width="16.3636363636364" style="97" customWidth="1"/>
    <col min="17" max="17" width="23.7272727272727" style="97" customWidth="1"/>
    <col min="18" max="18" width="20.5454545454545" style="97" customWidth="1"/>
    <col min="19" max="20" width="19.5454545454545" style="98" customWidth="1"/>
    <col min="21" max="21" width="15.0909090909091" style="98" customWidth="1"/>
    <col min="22" max="22" width="7.36363636363636" style="98" customWidth="1"/>
    <col min="23" max="23" width="14.0909090909091" style="98" customWidth="1"/>
    <col min="24" max="24" width="15.7272727272727" style="97" customWidth="1"/>
    <col min="25" max="25" width="32.3636363636364" style="97" customWidth="1"/>
    <col min="26" max="26" width="19.9090909090909" style="97" customWidth="1"/>
    <col min="27" max="27" width="23.3636363636364" style="97" customWidth="1"/>
  </cols>
  <sheetData>
    <row r="1" ht="42" customHeight="1" spans="1:27">
      <c r="A1" s="100"/>
      <c r="B1" s="101" t="s">
        <v>155</v>
      </c>
      <c r="AA1" s="102"/>
    </row>
    <row r="2" ht="53" customHeight="1" spans="1:27">
      <c r="A2" s="103"/>
      <c r="B2" s="104" t="s">
        <v>156</v>
      </c>
      <c r="C2" s="105"/>
      <c r="D2" s="106" t="s">
        <v>157</v>
      </c>
      <c r="E2" s="107"/>
      <c r="F2" s="108"/>
      <c r="G2" s="109" t="s">
        <v>158</v>
      </c>
      <c r="H2" s="110" t="s">
        <v>159</v>
      </c>
      <c r="I2" s="105"/>
      <c r="J2" s="111" t="s">
        <v>160</v>
      </c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3"/>
    </row>
    <row r="3" ht="20.25" customHeight="1" spans="1:27">
      <c r="A3" s="114" t="s">
        <v>161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6"/>
      <c r="P3" s="117" t="s">
        <v>162</v>
      </c>
      <c r="Q3" s="118"/>
      <c r="R3" s="118"/>
      <c r="S3" s="118"/>
      <c r="T3" s="118"/>
      <c r="U3" s="118"/>
      <c r="V3" s="118"/>
      <c r="W3" s="118"/>
      <c r="X3" s="119"/>
      <c r="Y3" s="120" t="s">
        <v>163</v>
      </c>
      <c r="Z3" s="121"/>
      <c r="AA3" s="122"/>
    </row>
    <row r="4" ht="20.25" customHeight="1" spans="1:27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5"/>
      <c r="P4" s="126"/>
      <c r="X4" s="127"/>
      <c r="Y4" s="128"/>
      <c r="Z4" s="128"/>
      <c r="AA4" s="129"/>
    </row>
    <row r="5" ht="30" customHeight="1" spans="1:27">
      <c r="A5" s="130" t="s">
        <v>2</v>
      </c>
      <c r="B5" s="112"/>
      <c r="C5" s="112"/>
      <c r="D5" s="131" t="s">
        <v>164</v>
      </c>
      <c r="E5" s="132" t="s">
        <v>165</v>
      </c>
      <c r="F5" s="132" t="s">
        <v>166</v>
      </c>
      <c r="G5" s="131" t="s">
        <v>167</v>
      </c>
      <c r="H5" s="133" t="s">
        <v>168</v>
      </c>
      <c r="I5" s="131" t="s">
        <v>169</v>
      </c>
      <c r="J5" s="131" t="s">
        <v>164</v>
      </c>
      <c r="K5" s="134" t="s">
        <v>165</v>
      </c>
      <c r="L5" s="134" t="s">
        <v>166</v>
      </c>
      <c r="M5" s="131" t="s">
        <v>167</v>
      </c>
      <c r="N5" s="133" t="s">
        <v>168</v>
      </c>
      <c r="O5" s="131" t="s">
        <v>169</v>
      </c>
      <c r="P5" s="135" t="s">
        <v>170</v>
      </c>
      <c r="Q5" s="136" t="s">
        <v>164</v>
      </c>
      <c r="R5" s="118"/>
      <c r="S5" s="137" t="s">
        <v>165</v>
      </c>
      <c r="T5" s="137" t="s">
        <v>166</v>
      </c>
      <c r="U5" s="136" t="s">
        <v>167</v>
      </c>
      <c r="V5" s="118"/>
      <c r="W5" s="136" t="s">
        <v>168</v>
      </c>
      <c r="X5" s="138" t="s">
        <v>169</v>
      </c>
      <c r="Y5" s="139" t="s">
        <v>171</v>
      </c>
      <c r="Z5" s="121"/>
      <c r="AA5" s="140"/>
    </row>
    <row r="6" ht="30" customHeight="1" spans="1:27">
      <c r="A6" s="141" t="s">
        <v>172</v>
      </c>
      <c r="B6" s="142" t="s">
        <v>170</v>
      </c>
      <c r="C6" s="143" t="s">
        <v>173</v>
      </c>
      <c r="D6" s="144" t="s">
        <v>174</v>
      </c>
      <c r="E6" s="145">
        <f>INDEX(数据底稿1!$G:$G,MATCH($D$2&amp;"|"&amp;$H$2&amp;"|合同达成率",数据底稿1!$Z:$Z,0))</f>
        <v>0.1</v>
      </c>
      <c r="F6" s="145">
        <f>IF(G6&lt;=INDEX(数据底稿1!$I:$I,MATCH($D$2&amp;"|"&amp;$H$2&amp;"|合同达成率",数据底稿1!$Z:$Z,0)),G6*INDEX(数据底稿1!$J:$J,MATCH($D$2&amp;"|"&amp;$H$2&amp;"|合同达成率",数据底稿1!$Z:$Z,0)),IF(G6&lt;=INDEX(数据底稿1!$M:$M,MATCH($D$2&amp;"|"&amp;$H$2&amp;"|合同达成率",数据底稿1!$Z:$Z,0)),G6*INDEX(数据底稿1!$N:$N,MATCH($D$2&amp;"|"&amp;$H$2&amp;"|合同达成率",数据底稿1!$Z:$Z,0)),IF(G6&lt;=INDEX(数据底稿1!$Q:$Q,MATCH($D$2&amp;"|"&amp;$H$2&amp;"|合同达成率",数据底稿1!$Z:$Z,0)),G6*INDEX(数据底稿1!$R:$R,MATCH($D$2&amp;"|"&amp;$H$2&amp;"|合同达成率",数据底稿1!$Z:$Z,0)),INDEX(数据底稿1!$V:$V,MATCH($D$2&amp;"|"&amp;$H$2&amp;"|合同达成率",数据底稿1!$Z:$Z,0)))))</f>
        <v>0.144</v>
      </c>
      <c r="G6" s="146">
        <v>1</v>
      </c>
      <c r="H6" s="133">
        <f>IF(ISBLANK(G6),"",F6*100)</f>
        <v>14.4</v>
      </c>
      <c r="I6" s="147" t="str">
        <f>IFERROR(TEXT(INDEX(数据底稿1!$H:$H,MATCH($D$2&amp;"|"&amp;$H$2&amp;"|合同达成率",数据底稿1!$Z:$Z,0)),"0.0%"),INDEX(数据底稿1!$H:$H,MATCH($D$2&amp;"|"&amp;$H$2&amp;"|合同达成率",数据底稿1!$Z:$Z,0)))</f>
        <v>100.0%</v>
      </c>
      <c r="J6" s="144" t="s">
        <v>175</v>
      </c>
      <c r="K6" s="148">
        <f>INDEX(数据底稿1!$G:$G,MATCH($D$2&amp;"|"&amp;$H$2&amp;"|销售增长率",数据底稿1!$Z:$Z,0))</f>
        <v>0.1</v>
      </c>
      <c r="L6" s="149">
        <f>IF(M6&lt;INDEX(数据底稿1!$I:$I,MATCH($D$2&amp;"|"&amp;$H$2&amp;"|销售增长率",数据底稿1!$Z:$Z,0)),INDEX(数据底稿1!$J:$J,MATCH($D$2&amp;"|"&amp;$H$2&amp;"|销售增长率",数据底稿1!$Z:$Z,0)),IF(M6&lt;INDEX(数据底稿1!$M:$M,MATCH($D$2&amp;"|"&amp;$H$2&amp;"|销售增长率",数据底稿1!$Z:$Z,0)),INDEX(数据底稿1!$N:$N,MATCH($D$2&amp;"|"&amp;$H$2&amp;"|销售增长率",数据底稿1!$Z:$Z,0)),IF(M6&lt;INDEX(数据底稿1!$Q:$Q,MATCH($D$2&amp;"|"&amp;$H$2&amp;"|销售增长率",数据底稿1!$Z:$Z,0)),INDEX(数据底稿1!$R:$R,MATCH($D$2&amp;"|"&amp;$H$2&amp;"|销售增长率",数据底稿1!$Z:$Z,0)),INDEX(数据底稿1!$V:$V,MATCH($D$2&amp;"|"&amp;$H$2&amp;"|销售增长率",数据底稿1!$Z:$Z,0)))))</f>
        <v>0.1</v>
      </c>
      <c r="M6" s="146">
        <v>0.3</v>
      </c>
      <c r="N6" s="133">
        <f>IF(ISBLANK(M6),"",L6*100)</f>
        <v>10</v>
      </c>
      <c r="O6" s="147" t="str">
        <f>IFERROR(TEXT(INDEX(数据底稿1!$H:$H,MATCH($D$2&amp;"|"&amp;$H$2&amp;"|销售增长率",数据底稿1!$Z:$Z,0)),"0.0%"),INDEX(数据底稿1!$H:$H,MATCH($D$2&amp;"|"&amp;$H$2&amp;"|销售增长率",数据底稿1!$Z:$Z,0)))</f>
        <v>15.1%</v>
      </c>
      <c r="P6" s="150" t="s">
        <v>44</v>
      </c>
      <c r="Q6" s="151" t="s">
        <v>89</v>
      </c>
      <c r="R6" s="151"/>
      <c r="S6" s="152">
        <v>0.25</v>
      </c>
      <c r="T6" s="153">
        <f>IF(U6="","",IF(U6&gt;=INDEX(数据底稿2!C4:K4,1,MATCH($D$2&amp;$H$2,数据底稿2!$C$3:$K$3,0)),90,IF(U6&gt;=INDEX(数据底稿2!C5:K5,1,MATCH($D$2&amp;$H$2,数据底稿2!$C$3:$K$3,0)),70,IF(U6&gt;=INDEX(数据底稿2!C6:K6,1,MATCH($D$2&amp;$H$2,数据底稿2!$C$3:$K$3,0)),50,30))))</f>
        <v>70</v>
      </c>
      <c r="U6" s="154">
        <v>0.1</v>
      </c>
      <c r="V6" s="154"/>
      <c r="W6" s="155">
        <f>IF(U6="","",T6*S6)</f>
        <v>17.5</v>
      </c>
      <c r="X6" s="156">
        <f>INDEX(数据底稿2!C4:K4,1,MATCH($D$2&amp;$H$2,数据底稿2!$C$3:$K$3,0))</f>
        <v>0.1318</v>
      </c>
      <c r="Y6" s="157" t="s">
        <v>176</v>
      </c>
      <c r="Z6" s="158"/>
      <c r="AA6" s="159" t="s">
        <v>177</v>
      </c>
    </row>
    <row r="7" ht="30" customHeight="1" spans="1:27">
      <c r="A7" s="160"/>
      <c r="B7" s="126"/>
      <c r="C7" s="161" t="s">
        <v>15</v>
      </c>
      <c r="D7" s="162" t="s">
        <v>178</v>
      </c>
      <c r="E7" s="163">
        <f>INDEX(数据底稿1!$G:$G,MATCH($D$2&amp;"|"&amp;$H$2&amp;"|网点数量",数据底稿1!$Z:$Z,0))</f>
        <v>0.041</v>
      </c>
      <c r="F7" s="163">
        <f>IF(G7&lt;INDEX(数据底稿1!$I:$I,MATCH($D$2&amp;"|"&amp;$H$2&amp;"|网点数量",数据底稿1!$Z:$Z,0)),INDEX(数据底稿1!$J:$J,MATCH($D$2&amp;"|"&amp;$H$2&amp;"|网点数量",数据底稿1!$Z:$Z,0)),IF(G7&lt;INDEX(数据底稿1!$M:$M,MATCH($D$2&amp;"|"&amp;$H$2&amp;"|网点数量",数据底稿1!$Z:$Z,0)),INDEX(数据底稿1!$N:$N,MATCH($D$2&amp;"|"&amp;$H$2&amp;"|网点数量",数据底稿1!$Z:$Z,0)),IF(INDEX(数据底稿1!$Q:$Q,MATCH($D$2&amp;"|"&amp;$H$2&amp;"|网点数量",数据底稿1!$Z:$Z,0))="",INDEX(数据底稿1!$R:$R,MATCH($D$2&amp;"|"&amp;$H$2&amp;"|网点数量",数据底稿1!$Z:$Z,0)),IF(G7&lt;INDEX(数据底稿1!$Q:$Q,MATCH($D$2&amp;"|"&amp;$H$2&amp;"|网点数量",数据底稿1!$Z:$Z,0)),INDEX(数据底稿1!$R:$R,MATCH($D$2&amp;"|"&amp;$H$2&amp;"|网点数量",数据底稿1!$Z:$Z,0)),IF(INDEX(数据底稿1!$V:$V,MATCH($D$2&amp;"|"&amp;$H$2&amp;"|网点数量",数据底稿1!$Z:$Z,0))="",INDEX(数据底稿1!$R:$R,MATCH($D$2&amp;"|"&amp;$H$2&amp;"|网点数量",数据底稿1!$Z:$Z,0)),INDEX(数据底稿1!$V:$V,MATCH($D$2&amp;"|"&amp;$H$2&amp;"|网点数量",数据底稿1!$Z:$Z,0)))))))</f>
        <v>90</v>
      </c>
      <c r="G7" s="164">
        <v>1000</v>
      </c>
      <c r="H7" s="165">
        <f t="shared" ref="H7:H16" si="0">IF(ISBLANK(G7),"",F7*E7)</f>
        <v>3.69</v>
      </c>
      <c r="I7" s="166" t="str">
        <f>INDEX(数据底稿1!$H:$H,MATCH($D$2&amp;"|"&amp;$H$2&amp;"|网点数量",数据底稿1!$Z:$Z,0))</f>
        <v>380个</v>
      </c>
      <c r="J7" s="167" t="s">
        <v>179</v>
      </c>
      <c r="K7" s="168">
        <f>INDEX(数据底稿1!$G:$G,MATCH($D$2&amp;"|"&amp;$H$2&amp;"|单店产出",数据底稿1!$Z:$Z,0))</f>
        <v>0.109</v>
      </c>
      <c r="L7" s="168">
        <f>IF(M7&lt;INDEX(数据底稿1!$I:$I,MATCH($D$2&amp;"|"&amp;$H$2&amp;"|单店产出",数据底稿1!$Z:$Z,0)),INDEX(数据底稿1!$J:$J,MATCH($D$2&amp;"|"&amp;$H$2&amp;"|单店产出",数据底稿1!$Z:$Z,0)),IF(M7&lt;INDEX(数据底稿1!$M:$M,MATCH($D$2&amp;"|"&amp;$H$2&amp;"|单店产出",数据底稿1!$Z:$Z,0)),INDEX(数据底稿1!$N:$N,MATCH($D$2&amp;"|"&amp;$H$2&amp;"|单店产出",数据底稿1!$Z:$Z,0)),IF(INDEX(数据底稿1!$Q:$Q,MATCH($D$2&amp;"|"&amp;$H$2&amp;"|单店产出",数据底稿1!$Z:$Z,0))="",INDEX(数据底稿1!$R:$R,MATCH($D$2&amp;"|"&amp;$H$2&amp;"|单店产出",数据底稿1!$Z:$Z,0)),IF(M7&lt;INDEX(数据底稿1!$Q:$Q,MATCH($D$2&amp;"|"&amp;$H$2&amp;"|单店产出",数据底稿1!$Z:$Z,0)),INDEX(数据底稿1!$R:$R,MATCH($D$2&amp;"|"&amp;$H$2&amp;"|单店产出",数据底稿1!$Z:$Z,0)),IF(INDEX(数据底稿1!$V:$V,MATCH($D$2&amp;"|"&amp;$H$2&amp;"|单店产出",数据底稿1!$Z:$Z,0))="",INDEX(数据底稿1!$R:$R,MATCH($D$2&amp;"|"&amp;$H$2&amp;"|单店产出",数据底稿1!$Z:$Z,0)),INDEX(数据底稿1!$V:$V,MATCH($D$2&amp;"|"&amp;$H$2&amp;"|单店产出",数据底稿1!$Z:$Z,0)))))))</f>
        <v>90</v>
      </c>
      <c r="M7" s="169">
        <v>10</v>
      </c>
      <c r="N7" s="170">
        <f>IF(ISBLANK(M7),"",L7*K7)</f>
        <v>9.81</v>
      </c>
      <c r="O7" s="166" t="str">
        <f>INDEX(数据底稿1!$H:$H,MATCH($D$2&amp;"|"&amp;$H$2&amp;"|单店产出",数据底稿1!$Z:$Z,0))</f>
        <v>4.4万</v>
      </c>
      <c r="P7" s="171"/>
      <c r="Q7" s="172"/>
      <c r="R7" s="172"/>
      <c r="S7" s="173"/>
      <c r="T7" s="174"/>
      <c r="U7" s="175"/>
      <c r="V7" s="175"/>
      <c r="W7" s="176"/>
      <c r="X7" s="177"/>
      <c r="Y7" s="178" t="s">
        <v>180</v>
      </c>
      <c r="Z7" s="179"/>
      <c r="AA7" s="180"/>
    </row>
    <row r="8" ht="30" customHeight="1" spans="1:27">
      <c r="A8" s="160"/>
      <c r="B8" s="126"/>
      <c r="C8" s="181"/>
      <c r="D8" s="167" t="s">
        <v>181</v>
      </c>
      <c r="E8" s="182">
        <f>INDEX(数据底稿1!$G:$G,MATCH($D$2&amp;"|"&amp;$H$2&amp;"|核心店数量占比",数据底稿1!$Z:$Z,0))</f>
        <v>0.041</v>
      </c>
      <c r="F8" s="163">
        <f>IF(G8&lt;INDEX(数据底稿1!$I:$I,MATCH($D$2&amp;"|"&amp;$H$2&amp;"|核心店数量占比",数据底稿1!$Z:$Z,0)),INDEX(数据底稿1!$J:$J,MATCH($D$2&amp;"|"&amp;$H$2&amp;"|核心店数量占比",数据底稿1!$Z:$Z,0)),IF(G8&lt;INDEX(数据底稿1!$M:$M,MATCH($D$2&amp;"|"&amp;$H$2&amp;"|核心店数量占比",数据底稿1!$Z:$Z,0)),INDEX(数据底稿1!$N:$N,MATCH($D$2&amp;"|"&amp;$H$2&amp;"|核心店数量占比",数据底稿1!$Z:$Z,0)),IF(INDEX(数据底稿1!$Q:$Q,MATCH($D$2&amp;"|"&amp;$H$2&amp;"|核心店数量占比",数据底稿1!$Z:$Z,0))="",INDEX(数据底稿1!$R:$R,MATCH($D$2&amp;"|"&amp;$H$2&amp;"|核心店数量占比",数据底稿1!$Z:$Z,0)),IF(G8&lt;INDEX(数据底稿1!$Q:$Q,MATCH($D$2&amp;"|"&amp;$H$2&amp;"|核心店数量占比",数据底稿1!$Z:$Z,0)),INDEX(数据底稿1!$R:$R,MATCH($D$2&amp;"|"&amp;$H$2&amp;"|核心店数量占比",数据底稿1!$Z:$Z,0)),IF(INDEX(数据底稿1!$V:$V,MATCH($D$2&amp;"|"&amp;$H$2&amp;"|核心店数量占比",数据底稿1!$Z:$Z,0))="",INDEX(数据底稿1!$R:$R,MATCH($D$2&amp;"|"&amp;$H$2&amp;"|核心店数量占比",数据底稿1!$Z:$Z,0)),INDEX(数据底稿1!$V:$V,MATCH($D$2&amp;"|"&amp;$H$2&amp;"|核心店数量占比",数据底稿1!$Z:$Z,0)))))))</f>
        <v>90</v>
      </c>
      <c r="G8" s="183">
        <v>0.35</v>
      </c>
      <c r="H8" s="184">
        <f t="shared" si="0"/>
        <v>3.69</v>
      </c>
      <c r="I8" s="166" t="str">
        <f>IFERROR(TEXT(INDEX(数据底稿1!$H:$H,MATCH($D$2&amp;"|"&amp;$H$2&amp;"|核心店数量占比",数据底稿1!$Z:$Z,0)),"0.0%"),INDEX(数据底稿1!$H:$H,MATCH($D$2&amp;"|"&amp;$H$2&amp;"|核心店数量占比",数据底稿1!$Z:$Z,0)))</f>
        <v>17.5%</v>
      </c>
      <c r="J8" s="185" t="s">
        <v>182</v>
      </c>
      <c r="K8" s="168">
        <f>INDEX(数据底稿1!$G:$G,MATCH($D$2&amp;"|"&amp;$H$2&amp;"|有效门店占比",数据底稿1!$Z:$Z,0))</f>
        <v>0.09</v>
      </c>
      <c r="L8" s="168">
        <f>IF(M8&lt;INDEX(数据底稿1!$I:$I,MATCH($D$2&amp;"|"&amp;$H$2&amp;"|有效门店占比",数据底稿1!$Z:$Z,0)),INDEX(数据底稿1!$J:$J,MATCH($D$2&amp;"|"&amp;$H$2&amp;"|有效门店占比",数据底稿1!$Z:$Z,0)),IF(M8&lt;INDEX(数据底稿1!$M:$M,MATCH($D$2&amp;"|"&amp;$H$2&amp;"|有效门店占比",数据底稿1!$Z:$Z,0)),INDEX(数据底稿1!$N:$N,MATCH($D$2&amp;"|"&amp;$H$2&amp;"|有效门店占比",数据底稿1!$Z:$Z,0)),IF(INDEX(数据底稿1!$Q:$Q,MATCH($D$2&amp;"|"&amp;$H$2&amp;"|有效门店占比",数据底稿1!$Z:$Z,0))="",INDEX(数据底稿1!$R:$R,MATCH($D$2&amp;"|"&amp;$H$2&amp;"|有效门店占比",数据底稿1!$Z:$Z,0)),IF(M8&lt;INDEX(数据底稿1!$Q:$Q,MATCH($D$2&amp;"|"&amp;$H$2&amp;"|有效门店占比",数据底稿1!$Z:$Z,0)),INDEX(数据底稿1!$R:$R,MATCH($D$2&amp;"|"&amp;$H$2&amp;"|有效门店占比",数据底稿1!$Z:$Z,0)),IF(INDEX(数据底稿1!$V:$V,MATCH($D$2&amp;"|"&amp;$H$2&amp;"|有效门店占比",数据底稿1!$Z:$Z,0))="",INDEX(数据底稿1!$R:$R,MATCH($D$2&amp;"|"&amp;$H$2&amp;"|有效门店占比",数据底稿1!$Z:$Z,0)),INDEX(数据底稿1!$V:$V,MATCH($D$2&amp;"|"&amp;$H$2&amp;"|有效门店占比",数据底稿1!$Z:$Z,0)))))))</f>
        <v>90</v>
      </c>
      <c r="M8" s="183">
        <v>1</v>
      </c>
      <c r="N8" s="170">
        <f>IF(ISBLANK(M8),"",L8*K8)</f>
        <v>8.1</v>
      </c>
      <c r="O8" s="166" t="str">
        <f>IFERROR(TEXT(INDEX(数据底稿1!$H:$H,MATCH($D$2&amp;"|"&amp;$H$2&amp;"|有效门店占比",数据底稿1!$Z:$Z,0)),"0.0%"),INDEX(数据底稿1!$H:$H,MATCH($D$2&amp;"|"&amp;$H$2&amp;"|有效门店占比",数据底稿1!$Z:$Z,0)))</f>
        <v>94.1%</v>
      </c>
      <c r="P8" s="150" t="s">
        <v>92</v>
      </c>
      <c r="Q8" s="151" t="s">
        <v>93</v>
      </c>
      <c r="R8" s="151"/>
      <c r="S8" s="152">
        <v>0.18</v>
      </c>
      <c r="T8" s="153">
        <f>IF(U8="","",IF(U8&gt;=INDEX(数据底稿2!C7:K7,1,MATCH($D$2&amp;$H$2,数据底稿2!$C$3:$K$3,0)),90,IF(U8&gt;=INDEX(数据底稿2!C8:K8,1,MATCH($D$2&amp;$H$2,数据底稿2!$C$3:$K$3,0)),70,IF(U8&gt;=INDEX(数据底稿2!C9:K9,1,MATCH($D$2&amp;$H$2,数据底稿2!$C$3:$K$3,0)),50,30))))</f>
        <v>30</v>
      </c>
      <c r="U8" s="186">
        <v>0.013</v>
      </c>
      <c r="V8" s="186"/>
      <c r="W8" s="155">
        <f>IF(U8="","",T8*S8)</f>
        <v>5.4</v>
      </c>
      <c r="X8" s="156">
        <f>INDEX(数据底稿2!C7:K7,1,MATCH($D$2&amp;$H$2,数据底稿2!$C$3:$K$3,0))</f>
        <v>0.038</v>
      </c>
      <c r="Y8" s="187" t="s">
        <v>132</v>
      </c>
      <c r="Z8" s="188" t="s">
        <v>133</v>
      </c>
      <c r="AA8" s="189">
        <v>279</v>
      </c>
    </row>
    <row r="9" ht="30" customHeight="1" spans="1:27">
      <c r="A9" s="160"/>
      <c r="B9" s="126"/>
      <c r="C9" s="181"/>
      <c r="D9" s="162" t="s">
        <v>183</v>
      </c>
      <c r="E9" s="163">
        <f>INDEX(数据底稿1!$G:$G,MATCH($D$2&amp;"|"&amp;$H$2&amp;"|人均服务网点数",数据底稿1!$Z:$Z,0))</f>
        <v>0.045</v>
      </c>
      <c r="F9" s="163">
        <f>IF(G9&lt;INDEX(数据底稿1!$I:$I,MATCH($D$2&amp;"|"&amp;$H$2&amp;"|人均服务网点数",数据底稿1!$Z:$Z,0)),INDEX(数据底稿1!$J:$J,MATCH($D$2&amp;"|"&amp;$H$2&amp;"|人均服务网点数",数据底稿1!$Z:$Z,0)),IF(G9&lt;INDEX(数据底稿1!$M:$M,MATCH($D$2&amp;"|"&amp;$H$2&amp;"|人均服务网点数",数据底稿1!$Z:$Z,0)),INDEX(数据底稿1!$N:$N,MATCH($D$2&amp;"|"&amp;$H$2&amp;"|人均服务网点数",数据底稿1!$Z:$Z,0)),IF(INDEX(数据底稿1!$Q:$Q,MATCH($D$2&amp;"|"&amp;$H$2&amp;"|人均服务网点数",数据底稿1!$Z:$Z,0))="",INDEX(数据底稿1!$R:$R,MATCH($D$2&amp;"|"&amp;$H$2&amp;"|人均服务网点数",数据底稿1!$Z:$Z,0)),IF(G9&lt;INDEX(数据底稿1!$Q:$Q,MATCH($D$2&amp;"|"&amp;$H$2&amp;"|人均服务网点数",数据底稿1!$Z:$Z,0)),INDEX(数据底稿1!$R:$R,MATCH($D$2&amp;"|"&amp;$H$2&amp;"|人均服务网点数",数据底稿1!$Z:$Z,0)),IF(INDEX(数据底稿1!$V:$V,MATCH($D$2&amp;"|"&amp;$H$2&amp;"|人均服务网点数",数据底稿1!$Z:$Z,0))="",INDEX(数据底稿1!$R:$R,MATCH($D$2&amp;"|"&amp;$H$2&amp;"|人均服务网点数",数据底稿1!$Z:$Z,0)),INDEX(数据底稿1!$V:$V,MATCH($D$2&amp;"|"&amp;$H$2&amp;"|人均服务网点数",数据底稿1!$Z:$Z,0)))))))</f>
        <v>90</v>
      </c>
      <c r="G9" s="190">
        <v>150</v>
      </c>
      <c r="H9" s="184">
        <f t="shared" si="0"/>
        <v>4.05</v>
      </c>
      <c r="I9" s="166" t="str">
        <f>IFERROR(TEXT(ROUND(VALUE(SUBSTITUTE(INDEX(数据底稿1!$H:$H,MATCH($D$2&amp;"|"&amp;$H$2&amp;"|人均服务网点数",数据底稿1!$Z:$Z,0)),"个","")),0),"0")&amp;"个",INDEX(数据底稿1!$H:$H,MATCH($D$2&amp;"|"&amp;$H$2&amp;"|人均服务网点数",数据底稿1!$Z:$Z,0)))</f>
        <v>78个</v>
      </c>
      <c r="J9" s="191" t="s">
        <v>184</v>
      </c>
      <c r="K9" s="192">
        <f>INDEX(数据底稿1!$G:$G,MATCH($D$2&amp;"|"&amp;$H$2&amp;"|自有人员数量",数据底稿1!$Z:$Z,0))</f>
        <v>0.023</v>
      </c>
      <c r="L9" s="192">
        <f>IF(M9&lt;INDEX(数据底稿1!$I:$I,MATCH($D$2&amp;"|"&amp;$H$2&amp;"|自有人员数量",数据底稿1!$Z:$Z,0)),INDEX(数据底稿1!$J:$J,MATCH($D$2&amp;"|"&amp;$H$2&amp;"|自有人员数量",数据底稿1!$Z:$Z,0)),IF(M9&lt;INDEX(数据底稿1!$M:$M,MATCH($D$2&amp;"|"&amp;$H$2&amp;"|自有人员数量",数据底稿1!$Z:$Z,0)),INDEX(数据底稿1!$N:$N,MATCH($D$2&amp;"|"&amp;$H$2&amp;"|自有人员数量",数据底稿1!$Z:$Z,0)),IF(INDEX(数据底稿1!$Q:$Q,MATCH($D$2&amp;"|"&amp;$H$2&amp;"|自有人员数量",数据底稿1!$Z:$Z,0))="",INDEX(数据底稿1!$R:$R,MATCH($D$2&amp;"|"&amp;$H$2&amp;"|自有人员数量",数据底稿1!$Z:$Z,0)),IF(M9&lt;INDEX(数据底稿1!$Q:$Q,MATCH($D$2&amp;"|"&amp;$H$2&amp;"|自有人员数量",数据底稿1!$Z:$Z,0)),INDEX(数据底稿1!$R:$R,MATCH($D$2&amp;"|"&amp;$H$2&amp;"|自有人员数量",数据底稿1!$Z:$Z,0)),IF(INDEX(数据底稿1!$V:$V,MATCH($D$2&amp;"|"&amp;$H$2&amp;"|自有人员数量",数据底稿1!$Z:$Z,0))="",INDEX(数据底稿1!$R:$R,MATCH($D$2&amp;"|"&amp;$H$2&amp;"|自有人员数量",数据底稿1!$Z:$Z,0)),INDEX(数据底稿1!$V:$V,MATCH($D$2&amp;"|"&amp;$H$2&amp;"|自有人员数量",数据底稿1!$Z:$Z,0)))))))</f>
        <v>90</v>
      </c>
      <c r="M9" s="164">
        <v>6</v>
      </c>
      <c r="N9" s="170">
        <f>IF(ISBLANK(M9),"",L9*K9)</f>
        <v>2.07</v>
      </c>
      <c r="O9" s="166" t="str">
        <f>INDEX(数据底稿1!$H:$H,MATCH($D$2&amp;"|"&amp;$H$2&amp;"|自有人员数量",数据底稿1!$Z:$Z,0))</f>
        <v>4人</v>
      </c>
      <c r="P9" s="171"/>
      <c r="Q9" s="193"/>
      <c r="R9" s="193"/>
      <c r="S9" s="194"/>
      <c r="T9" s="195"/>
      <c r="U9" s="196"/>
      <c r="V9" s="196"/>
      <c r="W9" s="197"/>
      <c r="X9" s="198"/>
      <c r="Y9" s="199"/>
      <c r="Z9" s="199"/>
      <c r="AA9" s="200"/>
    </row>
    <row r="10" ht="30" customHeight="1" spans="1:27">
      <c r="A10" s="160"/>
      <c r="B10" s="126"/>
      <c r="C10" s="181"/>
      <c r="D10" s="201" t="s">
        <v>185</v>
      </c>
      <c r="E10" s="202">
        <f>INDEX(数据底稿1!$G:$G,MATCH($D$2&amp;"|"&amp;$H$2&amp;"|人效",数据底稿1!$Z:$Z,0))</f>
        <v>0.086</v>
      </c>
      <c r="F10" s="203">
        <f>IF(G10&lt;INDEX(数据底稿1!$I:$I,MATCH($D$2&amp;"|"&amp;$H$2&amp;"|人效",数据底稿1!$Z:$Z,0)),INDEX(数据底稿1!$J:$J,MATCH($D$2&amp;"|"&amp;$H$2&amp;"|人效",数据底稿1!$Z:$Z,0)),IF(G10&lt;INDEX(数据底稿1!$M:$M,MATCH($D$2&amp;"|"&amp;$H$2&amp;"|人效",数据底稿1!$Z:$Z,0)),INDEX(数据底稿1!$N:$N,MATCH($D$2&amp;"|"&amp;$H$2&amp;"|人效",数据底稿1!$Z:$Z,0)),IF(INDEX(数据底稿1!$Q:$Q,MATCH($D$2&amp;"|"&amp;$H$2&amp;"|人效",数据底稿1!$Z:$Z,0))="",INDEX(数据底稿1!$R:$R,MATCH($D$2&amp;"|"&amp;$H$2&amp;"|人效",数据底稿1!$Z:$Z,0)),IF(G10&lt;INDEX(数据底稿1!$Q:$Q,MATCH($D$2&amp;"|"&amp;$H$2&amp;"|人效",数据底稿1!$Z:$Z,0)),INDEX(数据底稿1!$R:$R,MATCH($D$2&amp;"|"&amp;$H$2&amp;"|人效",数据底稿1!$Z:$Z,0)),IF(INDEX(数据底稿1!$V:$V,MATCH($D$2&amp;"|"&amp;$H$2&amp;"|人效",数据底稿1!$Z:$Z,0))="",INDEX(数据底稿1!$R:$R,MATCH($D$2&amp;"|"&amp;$H$2&amp;"|人效",数据底稿1!$Z:$Z,0)),INDEX(数据底稿1!$V:$V,MATCH($D$2&amp;"|"&amp;$H$2&amp;"|人效",数据底稿1!$Z:$Z,0)))))))</f>
        <v>90</v>
      </c>
      <c r="G10" s="204">
        <v>1000</v>
      </c>
      <c r="H10" s="205">
        <f t="shared" si="0"/>
        <v>7.74</v>
      </c>
      <c r="I10" s="206" t="str">
        <f>INDEX(数据底稿1!$H:$H,MATCH($D$2&amp;"|"&amp;$H$2&amp;"|人效",数据底稿1!$Z:$Z,0))</f>
        <v>490.9万/人</v>
      </c>
      <c r="J10" s="207" t="s">
        <v>186</v>
      </c>
      <c r="K10" s="208">
        <f>INDEX(数据底稿1!$G:$G,MATCH($D$2&amp;"|"&amp;$H$2&amp;"|乡镇覆盖率",数据底稿1!$Z:$Z,0))</f>
        <v>0.014</v>
      </c>
      <c r="L10" s="208">
        <f>IF(M10&lt;INDEX(数据底稿1!$I:$I,MATCH($D$2&amp;"|"&amp;$H$2&amp;"|乡镇覆盖率",数据底稿1!$Z:$Z,0)),INDEX(数据底稿1!$J:$J,MATCH($D$2&amp;"|"&amp;$H$2&amp;"|乡镇覆盖率",数据底稿1!$Z:$Z,0)),IF(M10&lt;INDEX(数据底稿1!$M:$M,MATCH($D$2&amp;"|"&amp;$H$2&amp;"|乡镇覆盖率",数据底稿1!$Z:$Z,0)),INDEX(数据底稿1!$N:$N,MATCH($D$2&amp;"|"&amp;$H$2&amp;"|乡镇覆盖率",数据底稿1!$Z:$Z,0)),IF(INDEX(数据底稿1!$Q:$Q,MATCH($D$2&amp;"|"&amp;$H$2&amp;"|乡镇覆盖率",数据底稿1!$Z:$Z,0))="",INDEX(数据底稿1!$R:$R,MATCH($D$2&amp;"|"&amp;$H$2&amp;"|乡镇覆盖率",数据底稿1!$Z:$Z,0)),IF(M10&lt;INDEX(数据底稿1!$Q:$Q,MATCH($D$2&amp;"|"&amp;$H$2&amp;"|乡镇覆盖率",数据底稿1!$Z:$Z,0)),INDEX(数据底稿1!$R:$R,MATCH($D$2&amp;"|"&amp;$H$2&amp;"|乡镇覆盖率",数据底稿1!$Z:$Z,0)),IF(INDEX(数据底稿1!$V:$V,MATCH($D$2&amp;"|"&amp;$H$2&amp;"|乡镇覆盖率",数据底稿1!$Z:$Z,0))="",INDEX(数据底稿1!$R:$R,MATCH($D$2&amp;"|"&amp;$H$2&amp;"|乡镇覆盖率",数据底稿1!$Z:$Z,0)),INDEX(数据底稿1!$V:$V,MATCH($D$2&amp;"|"&amp;$H$2&amp;"|乡镇覆盖率",数据底稿1!$Z:$Z,0)))))))</f>
        <v>70</v>
      </c>
      <c r="M10" s="209">
        <v>1</v>
      </c>
      <c r="N10" s="210">
        <f>IF(ISBLANK(M10),"",L10*K10)</f>
        <v>0.98</v>
      </c>
      <c r="O10" s="206" t="str">
        <f>IFERROR(TEXT(INDEX(数据底稿1!$H:$H,MATCH($D$2&amp;"|"&amp;$H$2&amp;"|乡镇覆盖率",数据底稿1!$Z:$Z,0)),"0.0%"),INDEX(数据底稿1!$H:$H,MATCH($D$2&amp;"|"&amp;$H$2&amp;"|乡镇覆盖率",数据底稿1!$Z:$Z,0)))</f>
        <v>100.0%</v>
      </c>
      <c r="P10" s="171"/>
      <c r="Q10" s="172" t="s">
        <v>187</v>
      </c>
      <c r="R10" s="172"/>
      <c r="S10" s="173">
        <v>0.17</v>
      </c>
      <c r="T10" s="174">
        <f>IF(U10="","",IF(U10&gt;=INDEX(数据底稿2!C10:K10,1,MATCH($D$2&amp;$H$2,数据底稿2!$C$3:$K$3,0)),90,IF(U10&gt;=INDEX(数据底稿2!C11:K11,1,MATCH($D$2&amp;$H$2,数据底稿2!$C$3:$K$3,0)),70,IF(U10&gt;=INDEX(数据底稿2!C12:K12,1,MATCH($D$2&amp;$H$2,数据底稿2!$C$3:$K$3,0)),50,30))))</f>
        <v>70</v>
      </c>
      <c r="U10" s="211">
        <v>2000</v>
      </c>
      <c r="V10" s="211"/>
      <c r="W10" s="176">
        <f>IF(U10="","",T10*S10)</f>
        <v>11.9</v>
      </c>
      <c r="X10" s="212">
        <f>INDEX(数据底稿2!C10:K10,1,MATCH($D$2&amp;$H$2,数据底稿2!$C$3:$K$3,0))</f>
        <v>2864</v>
      </c>
      <c r="Y10" s="187" t="s">
        <v>136</v>
      </c>
      <c r="Z10" s="188" t="s">
        <v>137</v>
      </c>
      <c r="AA10" s="189">
        <v>90</v>
      </c>
    </row>
    <row r="11" ht="30" customHeight="1" spans="1:27">
      <c r="A11" s="160"/>
      <c r="B11" s="126"/>
      <c r="C11" s="161" t="s">
        <v>44</v>
      </c>
      <c r="D11" s="213" t="s">
        <v>188</v>
      </c>
      <c r="E11" s="214">
        <f>INDEX(数据底稿1!$G:$G,MATCH($D$2&amp;"|"&amp;$H$2&amp;"|会员数量",数据底稿1!$Z:$Z,0))</f>
        <v>0.025</v>
      </c>
      <c r="F11" s="214">
        <f>IF(G11&lt;INDEX(数据底稿1!$I:$I,MATCH($D$2&amp;"|"&amp;$H$2&amp;"|会员数量",数据底稿1!$Z:$Z,0)),INDEX(数据底稿1!$J:$J,MATCH($D$2&amp;"|"&amp;$H$2&amp;"|会员数量",数据底稿1!$Z:$Z,0)),IF(G11&lt;INDEX(数据底稿1!$M:$M,MATCH($D$2&amp;"|"&amp;$H$2&amp;"|会员数量",数据底稿1!$Z:$Z,0)),INDEX(数据底稿1!$N:$N,MATCH($D$2&amp;"|"&amp;$H$2&amp;"|会员数量",数据底稿1!$Z:$Z,0)),IF(INDEX(数据底稿1!$Q:$Q,MATCH($D$2&amp;"|"&amp;$H$2&amp;"|会员数量",数据底稿1!$Z:$Z,0))="",INDEX(数据底稿1!$R:$R,MATCH($D$2&amp;"|"&amp;$H$2&amp;"|会员数量",数据底稿1!$Z:$Z,0)),IF(G11&lt;INDEX(数据底稿1!$Q:$Q,MATCH($D$2&amp;"|"&amp;$H$2&amp;"|会员数量",数据底稿1!$Z:$Z,0)),INDEX(数据底稿1!$R:$R,MATCH($D$2&amp;"|"&amp;$H$2&amp;"|会员数量",数据底稿1!$Z:$Z,0)),IF(INDEX(数据底稿1!$V:$V,MATCH($D$2&amp;"|"&amp;$H$2&amp;"|会员数量",数据底稿1!$Z:$Z,0))="",INDEX(数据底稿1!$R:$R,MATCH($D$2&amp;"|"&amp;$H$2&amp;"|会员数量",数据底稿1!$Z:$Z,0)),INDEX(数据底稿1!$V:$V,MATCH($D$2&amp;"|"&amp;$H$2&amp;"|会员数量",数据底稿1!$Z:$Z,0)))))))</f>
        <v>90</v>
      </c>
      <c r="G11" s="215">
        <v>200</v>
      </c>
      <c r="H11" s="216">
        <f t="shared" si="0"/>
        <v>2.25</v>
      </c>
      <c r="I11" s="217" t="str">
        <f>INDEX(数据底稿1!$H:$H,MATCH($D$2&amp;"|"&amp;$H$2&amp;"|会员数量",数据底稿1!$Z:$Z,0))</f>
        <v>127人</v>
      </c>
      <c r="J11" s="218" t="s">
        <v>189</v>
      </c>
      <c r="K11" s="219">
        <f>INDEX(数据底稿1!$G:$G,MATCH($D$2&amp;"|"&amp;$H$2&amp;"|会员人均产出",数据底稿1!$Z:$Z,0))</f>
        <v>0.025</v>
      </c>
      <c r="L11" s="219">
        <f>IF(M11&lt;INDEX(数据底稿1!$I:$I,MATCH($D$2&amp;"|"&amp;$H$2&amp;"|会员人均产出",数据底稿1!$Z:$Z,0)),INDEX(数据底稿1!$J:$J,MATCH($D$2&amp;"|"&amp;$H$2&amp;"|会员人均产出",数据底稿1!$Z:$Z,0)),IF(M11&lt;INDEX(数据底稿1!$M:$M,MATCH($D$2&amp;"|"&amp;$H$2&amp;"|会员人均产出",数据底稿1!$Z:$Z,0)),INDEX(数据底稿1!$N:$N,MATCH($D$2&amp;"|"&amp;$H$2&amp;"|会员人均产出",数据底稿1!$Z:$Z,0)),IF(INDEX(数据底稿1!$Q:$Q,MATCH($D$2&amp;"|"&amp;$H$2&amp;"|会员人均产出",数据底稿1!$Z:$Z,0))="",INDEX(数据底稿1!$R:$R,MATCH($D$2&amp;"|"&amp;$H$2&amp;"|会员人均产出",数据底稿1!$Z:$Z,0)),IF(M11&lt;INDEX(数据底稿1!$Q:$Q,MATCH($D$2&amp;"|"&amp;$H$2&amp;"|会员人均产出",数据底稿1!$Z:$Z,0)),INDEX(数据底稿1!$R:$R,MATCH($D$2&amp;"|"&amp;$H$2&amp;"|会员人均产出",数据底稿1!$Z:$Z,0)),IF(INDEX(数据底稿1!$V:$V,MATCH($D$2&amp;"|"&amp;$H$2&amp;"|会员人均产出",数据底稿1!$Z:$Z,0))="",INDEX(数据底稿1!$R:$R,MATCH($D$2&amp;"|"&amp;$H$2&amp;"|会员人均产出",数据底稿1!$Z:$Z,0)),INDEX(数据底稿1!$V:$V,MATCH($D$2&amp;"|"&amp;$H$2&amp;"|会员人均产出",数据底稿1!$Z:$Z,0)))))))</f>
        <v>90</v>
      </c>
      <c r="M11" s="220">
        <v>2</v>
      </c>
      <c r="N11" s="133">
        <f>IF(ISBLANK(M11),"",L11*K11)</f>
        <v>2.25</v>
      </c>
      <c r="O11" s="147" t="str">
        <f>IFERROR(TEXT(VALUE(SUBSTITUTE(SUBSTITUTE(INDEX(数据底稿1!$H:$H,MATCH($D$2&amp;"|"&amp;$H$2&amp;"|会员人均产出",数据底稿1!$Z:$Z,0)),"万/人",""),"万","")),"0.00")&amp;"万/人",INDEX(数据底稿1!$H:$H,MATCH($D$2&amp;"|"&amp;$H$2&amp;"|会员人均产出",数据底稿1!$Z:$Z,0)))</f>
        <v>1.01万/人</v>
      </c>
      <c r="P11" s="171"/>
      <c r="Q11" s="172"/>
      <c r="R11" s="172"/>
      <c r="S11" s="173"/>
      <c r="T11" s="174"/>
      <c r="U11" s="211"/>
      <c r="V11" s="211"/>
      <c r="W11" s="176"/>
      <c r="X11" s="212"/>
      <c r="Y11" s="199"/>
      <c r="Z11" s="199"/>
      <c r="AA11" s="200"/>
    </row>
    <row r="12" ht="30" customHeight="1" spans="1:27">
      <c r="A12" s="160"/>
      <c r="B12" s="221"/>
      <c r="C12" s="161" t="s">
        <v>52</v>
      </c>
      <c r="D12" s="213" t="s">
        <v>190</v>
      </c>
      <c r="E12" s="214">
        <f>INDEX(数据底稿1!$G:$G,MATCH($D$2&amp;"|"&amp;$H$2&amp;"|渠道数量",数据底稿1!$Z:$Z,0))</f>
        <v>0.06</v>
      </c>
      <c r="F12" s="214">
        <f>IF(G12&lt;INDEX(数据底稿1!$I:$I,MATCH($D$2&amp;"|"&amp;$H$2&amp;"|渠道数量",数据底稿1!$Z:$Z,0)),INDEX(数据底稿1!$J:$J,MATCH($D$2&amp;"|"&amp;$H$2&amp;"|渠道数量",数据底稿1!$Z:$Z,0)),IF(G12&lt;INDEX(数据底稿1!$M:$M,MATCH($D$2&amp;"|"&amp;$H$2&amp;"|渠道数量",数据底稿1!$Z:$Z,0)),INDEX(数据底稿1!$N:$N,MATCH($D$2&amp;"|"&amp;$H$2&amp;"|渠道数量",数据底稿1!$Z:$Z,0)),IF(OR(INDEX(数据底稿1!$Q:$Q,MATCH($D$2&amp;"|"&amp;$H$2&amp;"|渠道数量",数据底稿1!$Z:$Z,0))="",G12&lt;INDEX(数据底稿1!$Q:$Q,MATCH($D$2&amp;"|"&amp;$H$2&amp;"|渠道数量",数据底稿1!$Z:$Z,0))),INDEX(数据底稿1!$R:$R,MATCH($D$2&amp;"|"&amp;$H$2&amp;"|渠道数量",数据底稿1!$Z:$Z,0)),INDEX(数据底稿1!$V:$V,MATCH($D$2&amp;"|"&amp;$H$2&amp;"|渠道数量",数据底稿1!$Z:$Z,0)))))</f>
        <v>90</v>
      </c>
      <c r="G12" s="215">
        <v>4</v>
      </c>
      <c r="H12" s="222">
        <f t="shared" si="0"/>
        <v>5.4</v>
      </c>
      <c r="I12" s="206" t="str">
        <f>INDEX(数据底稿1!$H:$H,MATCH($D$2&amp;"|"&amp;$H$2&amp;"|渠道数量",数据底稿1!$Z:$Z,0))</f>
        <v>4个</v>
      </c>
      <c r="J12" s="223"/>
      <c r="K12" s="115"/>
      <c r="L12" s="115"/>
      <c r="M12" s="115"/>
      <c r="N12" s="115"/>
      <c r="O12" s="115"/>
      <c r="P12" s="171"/>
      <c r="Q12" s="172"/>
      <c r="R12" s="172"/>
      <c r="S12" s="173"/>
      <c r="T12" s="174"/>
      <c r="U12" s="211"/>
      <c r="V12" s="211"/>
      <c r="W12" s="176"/>
      <c r="X12" s="212"/>
      <c r="Y12" s="224" t="s">
        <v>140</v>
      </c>
      <c r="Z12" s="225" t="s">
        <v>141</v>
      </c>
      <c r="AA12" s="226">
        <v>2.6</v>
      </c>
    </row>
    <row r="13" ht="30" customHeight="1" spans="1:27">
      <c r="A13" s="227"/>
      <c r="B13" s="228" t="s">
        <v>191</v>
      </c>
      <c r="C13" s="161" t="s">
        <v>56</v>
      </c>
      <c r="D13" s="213" t="s">
        <v>192</v>
      </c>
      <c r="E13" s="214">
        <f>INDEX(数据底稿1!$G:$G,MATCH($D$2&amp;"|"&amp;$H$2&amp;"|品类数量",数据底稿1!$Z:$Z,0))</f>
        <v>0.06</v>
      </c>
      <c r="F13" s="214">
        <f>IF(G13&lt;INDEX(数据底稿1!$I:$I,MATCH($D$2&amp;"|"&amp;$H$2&amp;"|品类数量",数据底稿1!$Z:$Z,0)),INDEX(数据底稿1!$J:$J,MATCH($D$2&amp;"|"&amp;$H$2&amp;"|品类数量",数据底稿1!$Z:$Z,0)),IF(G13&lt;INDEX(数据底稿1!$M:$M,MATCH($D$2&amp;"|"&amp;$H$2&amp;"|品类数量",数据底稿1!$Z:$Z,0)),INDEX(数据底稿1!$N:$N,MATCH($D$2&amp;"|"&amp;$H$2&amp;"|品类数量",数据底稿1!$Z:$Z,0)),IF(OR(INDEX(数据底稿1!$Q:$Q,MATCH($D$2&amp;"|"&amp;$H$2&amp;"|品类数量",数据底稿1!$Z:$Z,0))="",G13&lt;INDEX(数据底稿1!$Q:$Q,MATCH($D$2&amp;"|"&amp;$H$2&amp;"|品类数量",数据底稿1!$Z:$Z,0))),INDEX(数据底稿1!$R:$R,MATCH($D$2&amp;"|"&amp;$H$2&amp;"|品类数量",数据底稿1!$Z:$Z,0)),INDEX(数据底稿1!$V:$V,MATCH($D$2&amp;"|"&amp;$H$2&amp;"|品类数量",数据底稿1!$Z:$Z,0)))))</f>
        <v>90</v>
      </c>
      <c r="G13" s="215">
        <v>5</v>
      </c>
      <c r="H13" s="222">
        <f t="shared" si="0"/>
        <v>5.4</v>
      </c>
      <c r="I13" s="147" t="str">
        <f>INDEX(数据底稿1!$H:$H,MATCH($D$2&amp;"|"&amp;$H$2&amp;"|品类数量",数据底稿1!$Z:$Z,0))</f>
        <v>5个</v>
      </c>
      <c r="J13" s="223"/>
      <c r="K13" s="115"/>
      <c r="L13" s="115"/>
      <c r="M13" s="115"/>
      <c r="N13" s="115"/>
      <c r="O13" s="115"/>
      <c r="P13" s="150" t="s">
        <v>104</v>
      </c>
      <c r="Q13" s="151" t="s">
        <v>105</v>
      </c>
      <c r="R13" s="151"/>
      <c r="S13" s="229">
        <v>0.24</v>
      </c>
      <c r="T13" s="153">
        <f>IF(U13="","",IF(U13&gt;=INDEX(数据底稿2!C16:K16,1,MATCH($D$2&amp;$H$2,数据底稿2!$C$3:$K$3,0)),90,IF(U13&gt;=INDEX(数据底稿2!C17:K17,1,MATCH($D$2&amp;$H$2,数据底稿2!$C$3:$K$3,0)),70,IF(U13&gt;=INDEX(数据底稿2!C18:K18,1,MATCH($D$2&amp;$H$2,数据底稿2!$C$3:$K$3,0)),50,30))))</f>
        <v>90</v>
      </c>
      <c r="U13" s="154">
        <v>0.28</v>
      </c>
      <c r="V13" s="154"/>
      <c r="W13" s="155">
        <f>IF(U13="","",T13*S13)</f>
        <v>21.6</v>
      </c>
      <c r="X13" s="156">
        <f>INDEX(数据底稿2!C16:K16,1,MATCH($D$2&amp;$H$2,数据底稿2!$C$3:$K$3,0))</f>
        <v>0.274</v>
      </c>
      <c r="Y13" s="230" t="str">
        <f>IF(AA6="总体","雨虹产品总体单价",AA6&amp;"品类单价")</f>
        <v>防水品类单价</v>
      </c>
      <c r="Z13" s="231" t="s">
        <v>145</v>
      </c>
      <c r="AA13" s="232">
        <v>30</v>
      </c>
    </row>
    <row r="14" ht="30" customHeight="1" spans="1:27">
      <c r="A14" s="233" t="s">
        <v>193</v>
      </c>
      <c r="B14" s="228" t="s">
        <v>111</v>
      </c>
      <c r="C14" s="234" t="s">
        <v>194</v>
      </c>
      <c r="D14" s="235" t="s">
        <v>195</v>
      </c>
      <c r="E14" s="236">
        <f>INDEX(数据底稿1!$G:$G,MATCH($D$2&amp;"|"&amp;$H$2&amp;"|分销会次数",数据底稿1!$Z:$Z,0))</f>
        <v>0.03</v>
      </c>
      <c r="F14" s="236">
        <f>IF(G14&lt;INDEX(数据底稿1!$I:$I,MATCH($D$2&amp;"|"&amp;$H$2&amp;"|分销会次数",数据底稿1!$Z:$Z,0)),INDEX(数据底稿1!$J:$J,MATCH($D$2&amp;"|"&amp;$H$2&amp;"|分销会次数",数据底稿1!$Z:$Z,0)),IF(G14&lt;INDEX(数据底稿1!$M:$M,MATCH($D$2&amp;"|"&amp;$H$2&amp;"|分销会次数",数据底稿1!$Z:$Z,0)),INDEX(数据底稿1!$N:$N,MATCH($D$2&amp;"|"&amp;$H$2&amp;"|分销会次数",数据底稿1!$Z:$Z,0)),IF(INDEX(数据底稿1!$Q:$Q,MATCH($D$2&amp;"|"&amp;$H$2&amp;"|分销会次数",数据底稿1!$Z:$Z,0))="",INDEX(数据底稿1!$R:$R,MATCH($D$2&amp;"|"&amp;$H$2&amp;"|分销会次数",数据底稿1!$Z:$Z,0)),IF(G14&lt;INDEX(数据底稿1!$Q:$Q,MATCH($D$2&amp;"|"&amp;$H$2&amp;"|分销会次数",数据底稿1!$Z:$Z,0)),INDEX(数据底稿1!$R:$R,MATCH($D$2&amp;"|"&amp;$H$2&amp;"|分销会次数",数据底稿1!$Z:$Z,0)),IF(INDEX(数据底稿1!$V:$V,MATCH($D$2&amp;"|"&amp;$H$2&amp;"|分销会次数",数据底稿1!$Z:$Z,0))="",INDEX(数据底稿1!$R:$R,MATCH($D$2&amp;"|"&amp;$H$2&amp;"|分销会次数",数据底稿1!$Z:$Z,0)),INDEX(数据底稿1!$V:$V,MATCH($D$2&amp;"|"&amp;$H$2&amp;"|分销会次数",数据底稿1!$Z:$Z,0)))))))</f>
        <v>90</v>
      </c>
      <c r="G14" s="215">
        <v>8</v>
      </c>
      <c r="H14" s="222">
        <f t="shared" si="0"/>
        <v>2.7</v>
      </c>
      <c r="I14" s="147" t="str">
        <f>INDEX(数据底稿1!$H:$H,MATCH($D$2&amp;"|"&amp;$H$2&amp;"|分销会次数",数据底稿1!$Z:$Z,0))</f>
        <v>5次</v>
      </c>
      <c r="J14" s="237" t="s">
        <v>196</v>
      </c>
      <c r="K14" s="238">
        <f>INDEX(数据底稿1!$G:$G,MATCH($D$2&amp;"|"&amp;$H$2&amp;"|专业人士会议次数",数据底稿1!$Z:$Z,0))</f>
        <v>0.029</v>
      </c>
      <c r="L14" s="238">
        <f>IF(M14&lt;INDEX(数据底稿1!$I:$I,MATCH($D$2&amp;"|"&amp;$H$2&amp;"|专业人士会议次数",数据底稿1!$Z:$Z,0)),INDEX(数据底稿1!$J:$J,MATCH($D$2&amp;"|"&amp;$H$2&amp;"|专业人士会议次数",数据底稿1!$Z:$Z,0)),IF(M14&lt;INDEX(数据底稿1!$M:$M,MATCH($D$2&amp;"|"&amp;$H$2&amp;"|专业人士会议次数",数据底稿1!$Z:$Z,0)),INDEX(数据底稿1!$N:$N,MATCH($D$2&amp;"|"&amp;$H$2&amp;"|专业人士会议次数",数据底稿1!$Z:$Z,0)),IF(M14&lt;INDEX(数据底稿1!$Q:$Q,MATCH($D$2&amp;"|"&amp;$H$2&amp;"|专业人士会议次数",数据底稿1!$Z:$Z,0)),INDEX(数据底稿1!$R:$R,MATCH($D$2&amp;"|"&amp;$H$2&amp;"|专业人士会议次数",数据底稿1!$Z:$Z,0)),IF(M14&lt;=40,INDEX(数据底稿1!$V:$V,MATCH($D$2&amp;"|"&amp;$H$2&amp;"|专业人士会议次数",数据底稿1!$Z:$Z,0)),50))))</f>
        <v>90</v>
      </c>
      <c r="M14" s="239">
        <v>38</v>
      </c>
      <c r="N14" s="133">
        <f>IF(ISBLANK(M14),"",L14*K14)</f>
        <v>2.61</v>
      </c>
      <c r="O14" s="147" t="str">
        <f>INDEX(数据底稿1!$H:$H,MATCH($D$2&amp;"|"&amp;$H$2&amp;"|专业人士会议次数",数据底稿1!$Z:$Z,0))</f>
        <v>28次</v>
      </c>
      <c r="P14" s="171"/>
      <c r="Q14" s="240"/>
      <c r="R14" s="240"/>
      <c r="S14" s="241"/>
      <c r="T14" s="242"/>
      <c r="U14" s="243"/>
      <c r="V14" s="243"/>
      <c r="W14" s="244"/>
      <c r="X14" s="245"/>
      <c r="Y14" s="246" t="str">
        <f>"品类单价填写提示：建议根据所在区域实际情况，结合该品类适用的房屋面积比重，综合测算品类单价后填写。"&amp;IF(AA6="总体","总体单价为所有品类单价的加总。","")</f>
        <v>品类单价填写提示：建议根据所在区域实际情况，结合该品类适用的房屋面积比重，综合测算品类单价后填写。</v>
      </c>
      <c r="AA14" s="247"/>
    </row>
    <row r="15" ht="30" customHeight="1" spans="1:27">
      <c r="A15" s="160"/>
      <c r="B15" s="126"/>
      <c r="C15" s="234" t="s">
        <v>197</v>
      </c>
      <c r="D15" s="248" t="s">
        <v>198</v>
      </c>
      <c r="E15" s="236">
        <f>INDEX(数据底稿1!$G:$G,MATCH($D$2&amp;"|"&amp;$H$2&amp;"|坪效",数据底稿1!$Z:$Z,0))</f>
        <v>0.039</v>
      </c>
      <c r="F15" s="249">
        <f>IF(G15&lt;INDEX(数据底稿1!$I:$I,MATCH($D$2&amp;"|"&amp;$H$2&amp;"|坪效",数据底稿1!$Z:$Z,0)),INDEX(数据底稿1!$J:$J,MATCH($D$2&amp;"|"&amp;$H$2&amp;"|坪效",数据底稿1!$Z:$Z,0)),IF(G15&lt;INDEX(数据底稿1!$M:$M,MATCH($D$2&amp;"|"&amp;$H$2&amp;"|坪效",数据底稿1!$Z:$Z,0)),INDEX(数据底稿1!$N:$N,MATCH($D$2&amp;"|"&amp;$H$2&amp;"|坪效",数据底稿1!$Z:$Z,0)),IF(INDEX(数据底稿1!$Q:$Q,MATCH($D$2&amp;"|"&amp;$H$2&amp;"|坪效",数据底稿1!$Z:$Z,0))="",INDEX(数据底稿1!$R:$R,MATCH($D$2&amp;"|"&amp;$H$2&amp;"|坪效",数据底稿1!$Z:$Z,0)),IF(G15&lt;INDEX(数据底稿1!$Q:$Q,MATCH($D$2&amp;"|"&amp;$H$2&amp;"|坪效",数据底稿1!$Z:$Z,0)),INDEX(数据底稿1!$R:$R,MATCH($D$2&amp;"|"&amp;$H$2&amp;"|坪效",数据底稿1!$Z:$Z,0)),IF(INDEX(数据底稿1!$V:$V,MATCH($D$2&amp;"|"&amp;$H$2&amp;"|坪效",数据底稿1!$Z:$Z,0))="",INDEX(数据底稿1!$R:$R,MATCH($D$2&amp;"|"&amp;$H$2&amp;"|坪效",数据底稿1!$Z:$Z,0)),INDEX(数据底稿1!$V:$V,MATCH($D$2&amp;"|"&amp;$H$2&amp;"|坪效",数据底稿1!$Z:$Z,0)))))))</f>
        <v>90</v>
      </c>
      <c r="G15" s="220">
        <v>3</v>
      </c>
      <c r="H15" s="222">
        <f t="shared" si="0"/>
        <v>3.51</v>
      </c>
      <c r="I15" s="147" t="str">
        <f>IFERROR(TEXT(VALUE(SUBSTITUTE(INDEX(数据底稿1!$H:$H,MATCH($D$2&amp;"|"&amp;$H$2&amp;"|坪效",数据底稿1!$Z:$Z,0)),"万/平方米","")),"0.00")&amp;"万/平方米",INDEX(数据底稿1!$H:$H,MATCH($D$2&amp;"|"&amp;$H$2&amp;"|坪效",数据底稿1!$Z:$Z,0)))</f>
        <v>1.38万/平方米</v>
      </c>
      <c r="J15" s="250"/>
      <c r="K15" s="115"/>
      <c r="L15" s="115"/>
      <c r="M15" s="115"/>
      <c r="N15" s="115"/>
      <c r="O15" s="115"/>
      <c r="P15" s="171"/>
      <c r="Q15" s="172" t="s">
        <v>199</v>
      </c>
      <c r="R15" s="172"/>
      <c r="S15" s="251">
        <v>0.16</v>
      </c>
      <c r="T15" s="174">
        <f>IF(U15="","",IF(U15&gt;=INDEX(数据底稿2!C13:K13,1,MATCH($D$2&amp;$H$2,数据底稿2!$C$3:$K$3,0)),90,IF(U15&gt;=INDEX(数据底稿2!C14:K14,1,MATCH($D$2&amp;$H$2,数据底稿2!$C$3:$K$3,0)),70,IF(U15&gt;=INDEX(数据底稿2!C15:K15,1,MATCH($D$2&amp;$H$2,数据底稿2!$C$3:$K$3,0)),50,30))))</f>
        <v>70</v>
      </c>
      <c r="U15" s="252">
        <v>20</v>
      </c>
      <c r="V15" s="252"/>
      <c r="W15" s="176">
        <f>IF(U15="","",T15*S15)</f>
        <v>11.2</v>
      </c>
      <c r="X15" s="253">
        <f>INDEX(数据底稿2!C13:K13,1,MATCH($D$2&amp;$H$2,数据底稿2!$C$3:$K$3,0))</f>
        <v>38</v>
      </c>
      <c r="Y15" s="254"/>
      <c r="AA15" s="247"/>
    </row>
    <row r="16" ht="22" customHeight="1" spans="1:27">
      <c r="A16" s="160"/>
      <c r="B16" s="126"/>
      <c r="C16" s="255" t="s">
        <v>200</v>
      </c>
      <c r="D16" s="105"/>
      <c r="E16" s="236">
        <f>INDEX(数据底稿1!$G:$G,MATCH($D$2&amp;"|"&amp;$H$2&amp;"|数字化水平",数据底稿1!$Z:$Z,0))</f>
        <v>0.033</v>
      </c>
      <c r="F16" s="236">
        <f>IF(G16=INDEX(数据底稿1!$I:$I,MATCH($D$2&amp;"|"&amp;$H$2&amp;"|数字化水平",数据底稿1!$Z:$Z,0)),INDEX(数据底稿1!$J:$J,MATCH($D$2&amp;"|"&amp;$H$2&amp;"|数字化水平",数据底稿1!$Z:$Z,0)),IF(G16=INDEX(数据底稿1!$M:$M,MATCH($D$2&amp;"|"&amp;$H$2&amp;"|数字化水平",数据底稿1!$Z:$Z,0)),INDEX(数据底稿1!$N:$N,MATCH($D$2&amp;"|"&amp;$H$2&amp;"|数字化水平",数据底稿1!$Z:$Z,0)),IF(G16=INDEX(数据底稿1!$Q:$Q,MATCH($D$2&amp;"|"&amp;$H$2&amp;"|数字化水平",数据底稿1!$Z:$Z,0)),INDEX(数据底稿1!$R:$R,MATCH($D$2&amp;"|"&amp;$H$2&amp;"|数字化水平",数据底稿1!$Z:$Z,0)),IF(G16=INDEX(数据底稿1!$U:$U,MATCH($D$2&amp;"|"&amp;$H$2&amp;"|数字化水平",数据底稿1!$Z:$Z,0)),INDEX(数据底稿1!$V:$V,MATCH($D$2&amp;"|"&amp;$H$2&amp;"|数字化水平",数据底稿1!$Z:$Z,0)),0))))</f>
        <v>90</v>
      </c>
      <c r="G16" s="256" t="s">
        <v>201</v>
      </c>
      <c r="H16" s="216">
        <f t="shared" si="0"/>
        <v>2.97</v>
      </c>
      <c r="I16" s="257" t="s">
        <v>202</v>
      </c>
      <c r="J16" s="105"/>
      <c r="K16" s="105"/>
      <c r="L16" s="105"/>
      <c r="M16" s="105"/>
      <c r="N16" s="105"/>
      <c r="O16" s="105"/>
      <c r="P16" s="171"/>
      <c r="Q16" s="172"/>
      <c r="R16" s="172"/>
      <c r="S16" s="251"/>
      <c r="T16" s="174"/>
      <c r="U16" s="252"/>
      <c r="V16" s="252"/>
      <c r="W16" s="176"/>
      <c r="X16" s="253"/>
      <c r="Y16" s="187" t="s">
        <v>148</v>
      </c>
      <c r="Z16" s="188" t="s">
        <v>24</v>
      </c>
      <c r="AA16" s="189">
        <v>3000.1</v>
      </c>
    </row>
    <row r="17" ht="28" customHeight="1" spans="1:27">
      <c r="A17" s="227"/>
      <c r="B17" s="221"/>
      <c r="C17" s="181"/>
      <c r="E17" s="258"/>
      <c r="F17" s="259"/>
      <c r="G17" s="260"/>
      <c r="P17" s="261"/>
      <c r="Q17" s="193"/>
      <c r="R17" s="193"/>
      <c r="S17" s="262"/>
      <c r="T17" s="195"/>
      <c r="U17" s="263"/>
      <c r="V17" s="263"/>
      <c r="W17" s="197"/>
      <c r="X17" s="264"/>
      <c r="Y17" s="199"/>
      <c r="Z17" s="199"/>
      <c r="AA17" s="200"/>
    </row>
    <row r="18" ht="28" customHeight="1" spans="1:27">
      <c r="A18" s="233" t="s">
        <v>203</v>
      </c>
      <c r="B18" s="228" t="s">
        <v>204</v>
      </c>
      <c r="C18" s="161" t="s">
        <v>205</v>
      </c>
      <c r="D18" s="105"/>
      <c r="E18" s="236">
        <f>INDEX(数据底稿1!$G:$G,MATCH($D$2&amp;"|"&amp;$H$2&amp;"|活动参与度",数据底稿1!$Z:$Z,0))</f>
        <v>0.015</v>
      </c>
      <c r="F18" s="265">
        <f>IF(G18=INDEX(数据底稿1!$I:$I,MATCH($D$2&amp;"|"&amp;$H$2&amp;"|活动参与度",数据底稿1!$Z:$Z,0)),INDEX(数据底稿1!$J:$J,MATCH($D$2&amp;"|"&amp;$H$2&amp;"|活动参与度",数据底稿1!$Z:$Z,0)),IF(G18=INDEX(数据底稿1!$M:$M,MATCH($D$2&amp;"|"&amp;$H$2&amp;"|活动参与度",数据底稿1!$Z:$Z,0)),INDEX(数据底稿1!$N:$N,MATCH($D$2&amp;"|"&amp;$H$2&amp;"|活动参与度",数据底稿1!$Z:$Z,0)),IF(G18=INDEX(数据底稿1!$Q:$Q,MATCH($D$2&amp;"|"&amp;$H$2&amp;"|活动参与度",数据底稿1!$Z:$Z,0)),INDEX(数据底稿1!$R:$R,MATCH($D$2&amp;"|"&amp;$H$2&amp;"|活动参与度",数据底稿1!$Z:$Z,0)),IF(G18=INDEX(数据底稿1!$U:$U,MATCH($D$2&amp;"|"&amp;$H$2&amp;"|活动参与度",数据底稿1!$Z:$Z,0)),INDEX(数据底稿1!$V:$V,MATCH($D$2&amp;"|"&amp;$H$2&amp;"|活动参与度",数据底稿1!$Z:$Z,0)),0))))</f>
        <v>90</v>
      </c>
      <c r="G18" s="266" t="s">
        <v>206</v>
      </c>
      <c r="H18" s="216">
        <f>IF(ISBLANK(G18),"",F18*E18)</f>
        <v>1.35</v>
      </c>
      <c r="I18" s="257" t="s">
        <v>207</v>
      </c>
      <c r="J18" s="105"/>
      <c r="K18" s="105"/>
      <c r="L18" s="105"/>
      <c r="M18" s="105"/>
      <c r="N18" s="105"/>
      <c r="O18" s="105"/>
      <c r="P18" s="267" t="s">
        <v>208</v>
      </c>
      <c r="X18" s="247"/>
      <c r="Y18" s="268" t="s">
        <v>209</v>
      </c>
      <c r="Z18" s="18"/>
      <c r="AA18" s="19"/>
    </row>
    <row r="19" ht="26" customHeight="1" spans="1:27">
      <c r="A19" s="160"/>
      <c r="B19" s="126"/>
      <c r="C19" s="181"/>
      <c r="E19" s="258"/>
      <c r="F19" s="259"/>
      <c r="G19" s="260"/>
      <c r="P19" s="269"/>
      <c r="Q19" s="270" t="s">
        <v>177</v>
      </c>
      <c r="R19" s="270" t="s">
        <v>210</v>
      </c>
      <c r="S19" s="271"/>
      <c r="T19" s="271"/>
      <c r="U19" s="270" t="s">
        <v>211</v>
      </c>
      <c r="V19" s="270"/>
      <c r="W19" s="270" t="s">
        <v>212</v>
      </c>
      <c r="X19" s="272"/>
      <c r="Y19" s="273" t="str">
        <f>"市场容量（"&amp;AA6&amp;"品类）"</f>
        <v>市场容量（防水品类）</v>
      </c>
      <c r="Z19" s="188" t="s">
        <v>24</v>
      </c>
      <c r="AA19" s="274">
        <f>AA8/AA12*AA10*AA13*5%</f>
        <v>14486.5384615385</v>
      </c>
    </row>
    <row r="20" ht="28" customHeight="1" spans="1:27">
      <c r="A20" s="160"/>
      <c r="B20" s="126"/>
      <c r="C20" s="161" t="s">
        <v>213</v>
      </c>
      <c r="D20" s="105"/>
      <c r="E20" s="236">
        <f>INDEX(数据底稿1!$G:$G,MATCH($D$2&amp;"|"&amp;$H$2&amp;"|经营意愿",数据底稿1!$Z:$Z,0))</f>
        <v>0.02</v>
      </c>
      <c r="F20" s="265">
        <f>IF(G20=INDEX(数据底稿1!$I:$I,MATCH($D$2&amp;"|"&amp;$H$2&amp;"|经营意愿",数据底稿1!$Z:$Z,0)),INDEX(数据底稿1!$J:$J,MATCH($D$2&amp;"|"&amp;$H$2&amp;"|经营意愿",数据底稿1!$Z:$Z,0)),IF(G20=INDEX(数据底稿1!$M:$M,MATCH($D$2&amp;"|"&amp;$H$2&amp;"|经营意愿",数据底稿1!$Z:$Z,0)),INDEX(数据底稿1!$N:$N,MATCH($D$2&amp;"|"&amp;$H$2&amp;"|经营意愿",数据底稿1!$Z:$Z,0)),IF(G20=INDEX(数据底稿1!$Q:$Q,MATCH($D$2&amp;"|"&amp;$H$2&amp;"|经营意愿",数据底稿1!$Z:$Z,0)),INDEX(数据底稿1!$R:$R,MATCH($D$2&amp;"|"&amp;$H$2&amp;"|经营意愿",数据底稿1!$Z:$Z,0)),IF(G20=INDEX(数据底稿1!$U:$U,MATCH($D$2&amp;"|"&amp;$H$2&amp;"|经营意愿",数据底稿1!$Z:$Z,0)),INDEX(数据底稿1!$V:$V,MATCH($D$2&amp;"|"&amp;$H$2&amp;"|经营意愿",数据底稿1!$Z:$Z,0)),0))))</f>
        <v>90</v>
      </c>
      <c r="G20" s="275" t="s">
        <v>206</v>
      </c>
      <c r="H20" s="222">
        <f>IF(ISBLANK(G20),"",F20*E20)</f>
        <v>1.8</v>
      </c>
      <c r="I20" s="257" t="s">
        <v>214</v>
      </c>
      <c r="J20" s="105"/>
      <c r="K20" s="105"/>
      <c r="L20" s="105"/>
      <c r="M20" s="105"/>
      <c r="N20" s="105"/>
      <c r="O20" s="105"/>
      <c r="P20" s="276"/>
      <c r="Q20" s="277"/>
      <c r="R20" s="277"/>
      <c r="S20" s="278"/>
      <c r="T20" s="278"/>
      <c r="U20" s="277"/>
      <c r="V20" s="277"/>
      <c r="W20" s="277"/>
      <c r="X20" s="279"/>
      <c r="Y20" s="199"/>
      <c r="Z20" s="199"/>
      <c r="AA20" s="200"/>
    </row>
    <row r="21" ht="49" customHeight="1" spans="1:27">
      <c r="A21" s="160"/>
      <c r="B21" s="126"/>
      <c r="C21" s="181"/>
      <c r="E21" s="258"/>
      <c r="F21" s="259"/>
      <c r="P21" s="280" t="s">
        <v>169</v>
      </c>
      <c r="Q21" s="281" t="str">
        <f>IFERROR(INDEX(数据底稿2!$A$50:$N$59,MATCH($D$2&amp;$H$2,数据底稿2!$A$50:$A$59,0),2),"/")</f>
        <v>458.8万</v>
      </c>
      <c r="R21" s="281" t="str">
        <f>IFERROR(INDEX(数据底稿2!$A$50:$N$59,MATCH($D$2&amp;$H$2,数据底稿2!$A$50:$A$59,0),3),"/")</f>
        <v>754.2万</v>
      </c>
      <c r="S21" s="282"/>
      <c r="T21" s="282"/>
      <c r="U21" s="281" t="str">
        <f>IFERROR(INDEX(数据底稿2!$A$50:$N$59,MATCH($D$2&amp;$H$2,数据底稿2!$A$50:$A$59,0),4),"/")</f>
        <v>112.7万</v>
      </c>
      <c r="V21" s="281"/>
      <c r="W21" s="281" t="str">
        <f>IFERROR(INDEX(数据底稿2!$A$50:$N$59,MATCH($D$2&amp;$H$2,数据底稿2!$A$50:$A$59,0),5),"/")</f>
        <v>189.2万</v>
      </c>
      <c r="X21" s="283"/>
      <c r="Y21" s="284" t="str">
        <f>"市场份额（"&amp;AA6&amp;"品类）"</f>
        <v>市场份额（防水品类）</v>
      </c>
      <c r="Z21" s="225" t="s">
        <v>47</v>
      </c>
      <c r="AA21" s="285">
        <f>IF(AA19=0,"-",AA16/AA19)</f>
        <v>0.207095712199655</v>
      </c>
    </row>
    <row r="22" ht="41" customHeight="1" spans="1:27">
      <c r="A22" s="160"/>
      <c r="B22" s="126"/>
      <c r="C22" s="286" t="s">
        <v>215</v>
      </c>
      <c r="D22" s="105"/>
      <c r="E22" s="287">
        <f>INDEX(数据底稿1!$G:$G,MATCH($D$2&amp;"|"&amp;$H$2&amp;"|文化认知度",数据底稿1!$Z:$Z,0))</f>
        <v>0.015</v>
      </c>
      <c r="F22" s="163">
        <f>IF(G22=INDEX(数据底稿1!$I:$I,MATCH($D$2&amp;"|"&amp;$H$2&amp;"|文化认知度",数据底稿1!$Z:$Z,0)),INDEX(数据底稿1!$J:$J,MATCH($D$2&amp;"|"&amp;$H$2&amp;"|文化认知度",数据底稿1!$Z:$Z,0)),IF(G22=INDEX(数据底稿1!$M:$M,MATCH($D$2&amp;"|"&amp;$H$2&amp;"|文化认知度",数据底稿1!$Z:$Z,0)),INDEX(数据底稿1!$N:$N,MATCH($D$2&amp;"|"&amp;$H$2&amp;"|文化认知度",数据底稿1!$Z:$Z,0)),IF(G22=INDEX(数据底稿1!$Q:$Q,MATCH($D$2&amp;"|"&amp;$H$2&amp;"|文化认知度",数据底稿1!$Z:$Z,0)),INDEX(数据底稿1!$R:$R,MATCH($D$2&amp;"|"&amp;$H$2&amp;"|文化认知度",数据底稿1!$Z:$Z,0)),IF(G22=INDEX(数据底稿1!$U:$U,MATCH($D$2&amp;"|"&amp;$H$2&amp;"|文化认知度",数据底稿1!$Z:$Z,0)),INDEX(数据底稿1!$V:$V,MATCH($D$2&amp;"|"&amp;$H$2&amp;"|文化认知度",数据底稿1!$Z:$Z,0)),0))))</f>
        <v>90</v>
      </c>
      <c r="G22" s="266" t="s">
        <v>206</v>
      </c>
      <c r="H22" s="184">
        <f>IF(ISBLANK(G22),"",F22*E22)</f>
        <v>1.35</v>
      </c>
      <c r="I22" s="288" t="s">
        <v>216</v>
      </c>
      <c r="J22" s="105"/>
      <c r="K22" s="105"/>
      <c r="L22" s="105"/>
      <c r="M22" s="105"/>
      <c r="N22" s="105"/>
      <c r="O22" s="105"/>
      <c r="P22" s="289"/>
      <c r="Q22" s="290"/>
      <c r="R22" s="290"/>
      <c r="S22" s="291"/>
      <c r="T22" s="291"/>
      <c r="U22" s="290"/>
      <c r="V22" s="290"/>
      <c r="W22" s="290"/>
      <c r="X22" s="292"/>
      <c r="Y22" s="293" t="s">
        <v>217</v>
      </c>
      <c r="Z22" s="294"/>
      <c r="AA22" s="295"/>
    </row>
    <row r="23" ht="21" customHeight="1" spans="1:27">
      <c r="A23" s="227"/>
      <c r="B23" s="221"/>
      <c r="C23" s="296"/>
      <c r="D23" s="260"/>
      <c r="E23" s="297"/>
      <c r="F23" s="297"/>
      <c r="G23" s="260"/>
      <c r="H23" s="260"/>
      <c r="I23" s="260"/>
      <c r="J23" s="260"/>
      <c r="K23" s="260"/>
      <c r="L23" s="260"/>
      <c r="M23" s="260"/>
      <c r="N23" s="260"/>
      <c r="O23" s="260"/>
      <c r="P23" s="269"/>
      <c r="Q23" s="270" t="s">
        <v>218</v>
      </c>
      <c r="R23" s="270" t="s">
        <v>219</v>
      </c>
      <c r="S23" s="271"/>
      <c r="T23" s="271"/>
      <c r="U23" s="270" t="s">
        <v>220</v>
      </c>
      <c r="V23" s="270"/>
      <c r="W23" s="298"/>
      <c r="X23" s="299"/>
      <c r="Y23" s="300" t="s">
        <v>221</v>
      </c>
      <c r="AA23" s="127"/>
    </row>
    <row r="24" ht="25" customHeight="1" spans="1:27">
      <c r="A24" s="301" t="s">
        <v>222</v>
      </c>
      <c r="B24" s="118"/>
      <c r="C24" s="302">
        <f>SUM(H6:H23,N6:N11,N14)*数据底稿3!B3+SUM(W6,W8,W10,W13,W15)*数据底稿3!B4</f>
        <v>90.416</v>
      </c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303"/>
      <c r="Q24" s="304"/>
      <c r="R24" s="304"/>
      <c r="S24" s="305"/>
      <c r="T24" s="305"/>
      <c r="U24" s="304"/>
      <c r="V24" s="304"/>
      <c r="W24" s="306"/>
      <c r="X24" s="307"/>
      <c r="Y24" s="199"/>
      <c r="Z24" s="199"/>
      <c r="AA24" s="308"/>
    </row>
    <row r="25" ht="31" customHeight="1" spans="1:27">
      <c r="A25" s="221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289" t="s">
        <v>169</v>
      </c>
      <c r="Q25" s="290" t="str">
        <f>IFERROR(INDEX(数据底稿2!$A$50:$N$59,MATCH($D$2&amp;$H$2,数据底稿2!$A$50:$A$59,0),6),"/")</f>
        <v>52.7万</v>
      </c>
      <c r="R25" s="290" t="str">
        <f>IFERROR(INDEX(数据底稿2!$A$50:$N$59,MATCH($D$2&amp;$H$2,数据底稿2!$A$50:$A$59,0),7),"/")</f>
        <v>20.2万</v>
      </c>
      <c r="S25" s="291"/>
      <c r="T25" s="291"/>
      <c r="U25" s="290" t="str">
        <f>IFERROR(INDEX(数据底稿2!$A$50:$N$59,MATCH($D$2&amp;$H$2,数据底稿2!$A$50:$A$59,0),8),"/")</f>
        <v>21.3万</v>
      </c>
      <c r="V25" s="290"/>
      <c r="W25" s="306"/>
      <c r="X25" s="307"/>
      <c r="Y25" s="309" t="s">
        <v>180</v>
      </c>
      <c r="Z25" s="18"/>
      <c r="AA25" s="310"/>
    </row>
    <row r="26" ht="40" customHeight="1" spans="1:27">
      <c r="A26" s="141" t="s">
        <v>223</v>
      </c>
      <c r="B26" s="127"/>
      <c r="C26" s="311" t="s">
        <v>224</v>
      </c>
      <c r="D26" s="312" t="s">
        <v>8</v>
      </c>
      <c r="E26" s="313"/>
      <c r="F26" s="313"/>
      <c r="G26" s="314" t="str">
        <f>IF(OR(G6="",ISERROR(G6)),"",IFERROR(IF(G6&lt;=INDEX(数据底稿1!$I:$I,MATCH($D$2&amp;"|"&amp;$H$2&amp;"|合同达成率",数据底稿1!$Z:$Z,0)),INDEX(数据底稿1!$L:$L,MATCH($D$2&amp;"|"&amp;$H$2&amp;"|合同达成率",数据底稿1!$Z:$Z,0)),IF(G6&lt;=INDEX(数据底稿1!$M:$M,MATCH($D$2&amp;"|"&amp;$H$2&amp;"|合同达成率",数据底稿1!$Z:$Z,0)),INDEX(数据底稿1!$P:$P,MATCH($D$2&amp;"|"&amp;$H$2&amp;"|合同达成率",数据底稿1!$Z:$Z,0)),IF(OR(INDEX(数据底稿1!$Q:$Q,MATCH($D$2&amp;"|"&amp;$H$2&amp;"|合同达成率",数据底稿1!$Z:$Z,0))="",G6&lt;=INDEX(数据底稿1!$Q:$Q,MATCH($D$2&amp;"|"&amp;$H$2&amp;"|合同达成率",数据底稿1!$Z:$Z,0))),INDEX(数据底稿1!$T:$T,MATCH($D$2&amp;"|"&amp;$H$2&amp;"|合同达成率",数据底稿1!$Z:$Z,0)),IFERROR(IF(INDEX(数据底稿1!$X:$X,MATCH($D$2&amp;"|"&amp;$H$2&amp;"|合同达成率",数据底稿1!$Z:$Z,0))="","",INDEX(数据底稿1!$X:$X,MATCH($D$2&amp;"|"&amp;$H$2&amp;"|合同达成率",数据底稿1!$Z:$Z,0))),"")))),""))</f>
        <v>全年合同达百，整体表现优异。建议深入分析单份合同达成差异，防范个别合同达成不力带来的风险。</v>
      </c>
      <c r="H26" s="315"/>
      <c r="I26" s="315"/>
      <c r="J26" s="315"/>
      <c r="K26" s="315"/>
      <c r="L26" s="315"/>
      <c r="M26" s="315"/>
      <c r="N26" s="315"/>
      <c r="O26" s="316"/>
      <c r="P26" s="317"/>
      <c r="Q26" s="318"/>
      <c r="R26" s="318"/>
      <c r="S26" s="319"/>
      <c r="T26" s="319"/>
      <c r="U26" s="318"/>
      <c r="V26" s="318"/>
      <c r="W26" s="320"/>
      <c r="X26" s="321"/>
      <c r="Y26" s="322" t="s">
        <v>225</v>
      </c>
      <c r="Z26" s="18"/>
      <c r="AA26" s="323" t="s">
        <v>226</v>
      </c>
    </row>
    <row r="27" ht="40" customHeight="1" spans="1:27">
      <c r="A27" s="126"/>
      <c r="B27" s="127"/>
      <c r="C27" s="221"/>
      <c r="D27" s="324" t="s">
        <v>12</v>
      </c>
      <c r="E27" s="325"/>
      <c r="F27" s="325"/>
      <c r="G27" s="326" t="str">
        <f>IF(OR(M6="",ISERROR(M6)),"",IFERROR(IF(M6&lt;=INDEX(数据底稿1!$I:$I,MATCH($D$2&amp;"|"&amp;$H$2&amp;"|销售增长率",数据底稿1!$Z:$Z,0)),INDEX(数据底稿1!$L:$L,MATCH($D$2&amp;"|"&amp;$H$2&amp;"|销售增长率",数据底稿1!$Z:$Z,0)),IF(M6&lt;=INDEX(数据底稿1!$M:$M,MATCH($D$2&amp;"|"&amp;$H$2&amp;"|销售增长率",数据底稿1!$Z:$Z,0)),INDEX(数据底稿1!$P:$P,MATCH($D$2&amp;"|"&amp;$H$2&amp;"|销售增长率",数据底稿1!$Z:$Z,0)),IF(OR(INDEX(数据底稿1!$Q:$Q,MATCH($D$2&amp;"|"&amp;$H$2&amp;"|销售增长率",数据底稿1!$Z:$Z,0))="",M6&lt;=INDEX(数据底稿1!$Q:$Q,MATCH($D$2&amp;"|"&amp;$H$2&amp;"|销售增长率",数据底稿1!$Z:$Z,0))),INDEX(数据底稿1!$T:$T,MATCH($D$2&amp;"|"&amp;$H$2&amp;"|销售增长率",数据底稿1!$Z:$Z,0)),IFERROR(IF(INDEX(数据底稿1!$X:$X,MATCH($D$2&amp;"|"&amp;$H$2&amp;"|销售增长率",数据底稿1!$Z:$Z,0))="","",INDEX(数据底稿1!$X:$X,MATCH($D$2&amp;"|"&amp;$H$2&amp;"|销售增长率",数据底稿1!$Z:$Z,0))),"")))),""))</f>
        <v>销售增长率处于同类经销商中的领先水平，增长动力强劲。建议关注各品类的增长表现，识别增长引擎品类，制定可持续增长策略，避免短期波动影响长期发展。</v>
      </c>
      <c r="H27" s="327"/>
      <c r="I27" s="327"/>
      <c r="J27" s="327"/>
      <c r="K27" s="327"/>
      <c r="L27" s="327"/>
      <c r="M27" s="327"/>
      <c r="N27" s="327"/>
      <c r="O27" s="327"/>
      <c r="P27" s="328"/>
      <c r="Q27" s="329" t="s">
        <v>15</v>
      </c>
      <c r="R27" s="329" t="s">
        <v>44</v>
      </c>
      <c r="S27" s="330"/>
      <c r="T27" s="330"/>
      <c r="U27" s="329" t="s">
        <v>92</v>
      </c>
      <c r="V27" s="329"/>
      <c r="W27" s="329" t="s">
        <v>104</v>
      </c>
      <c r="X27" s="331"/>
      <c r="Y27" s="224" t="s">
        <v>227</v>
      </c>
      <c r="Z27" s="118"/>
      <c r="AA27" s="332">
        <v>100</v>
      </c>
    </row>
    <row r="28" ht="40" customHeight="1" spans="1:27">
      <c r="A28" s="126"/>
      <c r="B28" s="127"/>
      <c r="C28" s="333" t="s">
        <v>170</v>
      </c>
      <c r="D28" s="334" t="s">
        <v>16</v>
      </c>
      <c r="E28" s="335"/>
      <c r="F28" s="335"/>
      <c r="G28" s="336" t="str">
        <f>IF(OR(C26=FALSE,C26="",ISERROR(C26)),"",IF(OR(G7="",ISERROR(G7)),"",IFERROR(IF(G7&lt;=INDEX(数据底稿1!$I:$I,MATCH($D$2&amp;"|"&amp;$H$2&amp;"|网点数量",数据底稿1!$Z:$Z,0)),INDEX(数据底稿1!$L:$L,MATCH($D$2&amp;"|"&amp;$H$2&amp;"|网点数量",数据底稿1!$Z:$Z,0)),IF(G7&lt;=INDEX(数据底稿1!$M:$M,MATCH($D$2&amp;"|"&amp;$H$2&amp;"|网点数量",数据底稿1!$Z:$Z,0)),INDEX(数据底稿1!$P:$P,MATCH($D$2&amp;"|"&amp;$H$2&amp;"|网点数量",数据底稿1!$Z:$Z,0)),IF(OR(INDEX(数据底稿1!$Q:$Q,MATCH($D$2&amp;"|"&amp;$H$2&amp;"|网点数量",数据底稿1!$Z:$Z,0))="",G7&lt;=INDEX(数据底稿1!$Q:$Q,MATCH($D$2&amp;"|"&amp;$H$2&amp;"|网点数量",数据底稿1!$Z:$Z,0))),INDEX(数据底稿1!$T:$T,MATCH($D$2&amp;"|"&amp;$H$2&amp;"|网点数量",数据底稿1!$Z:$Z,0)),IFERROR(IF(INDEX(数据底稿1!$X:$X,MATCH($D$2&amp;"|"&amp;$H$2&amp;"|网点数量",数据底稿1!$Z:$Z,0))="","",INDEX(数据底稿1!$X:$X,MATCH($D$2&amp;"|"&amp;$H$2&amp;"|网点数量",数据底稿1!$Z:$Z,0))),"")))),"")))</f>
        <v>网点数量处于同类经销商中的领先水平，网点覆盖广泛，网络基础扎实。建议重点提升单店产值和核心店占比，优化网点质量；同时建立网点分级管理体系，提高网点运营效率。</v>
      </c>
      <c r="H28" s="337"/>
      <c r="I28" s="337"/>
      <c r="J28" s="337"/>
      <c r="K28" s="337"/>
      <c r="L28" s="337"/>
      <c r="M28" s="337"/>
      <c r="N28" s="337"/>
      <c r="O28" s="337"/>
      <c r="P28" s="303"/>
      <c r="Q28" s="304"/>
      <c r="R28" s="304"/>
      <c r="S28" s="305"/>
      <c r="T28" s="305"/>
      <c r="U28" s="304"/>
      <c r="V28" s="304"/>
      <c r="W28" s="304"/>
      <c r="X28" s="338"/>
      <c r="Y28" s="339" t="s">
        <v>228</v>
      </c>
      <c r="Z28" s="18"/>
      <c r="AA28" s="340">
        <v>80</v>
      </c>
    </row>
    <row r="29" ht="40" customHeight="1" spans="1:27">
      <c r="A29" s="126"/>
      <c r="B29" s="127"/>
      <c r="C29" s="126"/>
      <c r="D29" s="312" t="s">
        <v>229</v>
      </c>
      <c r="E29" s="313"/>
      <c r="F29" s="313"/>
      <c r="G29" s="314" t="str">
        <f>IF(OR(C26=FALSE,C26="",ISERROR(C26)),"",IF(OR(G8="",ISERROR(G8)),"",IFERROR(IF(G8&lt;=INDEX(数据底稿1!$I:$I,MATCH($D$2&amp;"|"&amp;$H$2&amp;"|核心店数量占比",数据底稿1!$Z:$Z,0)),INDEX(数据底稿1!$L:$L,MATCH($D$2&amp;"|"&amp;$H$2&amp;"|核心店数量占比",数据底稿1!$Z:$Z,0)),IF(G8&lt;=INDEX(数据底稿1!$M:$M,MATCH($D$2&amp;"|"&amp;$H$2&amp;"|核心店数量占比",数据底稿1!$Z:$Z,0)),INDEX(数据底稿1!$P:$P,MATCH($D$2&amp;"|"&amp;$H$2&amp;"|核心店数量占比",数据底稿1!$Z:$Z,0)),IF(OR(INDEX(数据底稿1!$Q:$Q,MATCH($D$2&amp;"|"&amp;$H$2&amp;"|核心店数量占比",数据底稿1!$Z:$Z,0))="",G8&lt;=INDEX(数据底稿1!$Q:$Q,MATCH($D$2&amp;"|"&amp;$H$2&amp;"|核心店数量占比",数据底稿1!$Z:$Z,0))),INDEX(数据底稿1!$T:$T,MATCH($D$2&amp;"|"&amp;$H$2&amp;"|核心店数量占比",数据底稿1!$Z:$Z,0)),IFERROR(IF(INDEX(数据底稿1!$X:$X,MATCH($D$2&amp;"|"&amp;$H$2&amp;"|核心店数量占比",数据底稿1!$Z:$Z,0))="","",INDEX(数据底稿1!$X:$X,MATCH($D$2&amp;"|"&amp;$H$2&amp;"|核心店数量占比",数据底稿1!$Z:$Z,0))),"")))),"")))</f>
        <v>核心店数量占比处于同类经销商中的领先水平，核心资源集中，分销渠道增长由核心店驱动，市场竞争力强。建议持续关注核心店达成情况，保持增长动力。</v>
      </c>
      <c r="H29" s="315"/>
      <c r="I29" s="315"/>
      <c r="J29" s="315"/>
      <c r="K29" s="315"/>
      <c r="L29" s="315"/>
      <c r="M29" s="315"/>
      <c r="N29" s="315"/>
      <c r="O29" s="316"/>
      <c r="P29" s="289" t="s">
        <v>169</v>
      </c>
      <c r="Q29" s="290" t="str">
        <f>IFERROR(INDEX(数据底稿2!$A$50:$N$59,MATCH($D$2&amp;$H$2,数据底稿2!$A$50:$A$59,0),9),"/")</f>
        <v>1250.5万</v>
      </c>
      <c r="R29" s="290" t="str">
        <f>IFERROR(INDEX(数据底稿2!$A$50:$N$59,MATCH($D$2&amp;$H$2,数据底稿2!$A$50:$A$59,0),10),"/")</f>
        <v>71.3万</v>
      </c>
      <c r="S29" s="341"/>
      <c r="T29" s="342"/>
      <c r="U29" s="290" t="str">
        <f>IFERROR(INDEX(数据底稿2!$A$50:$N$59,MATCH($D$2&amp;$H$2,数据底稿2!$A$50:$A$59,0),11),"/")</f>
        <v>28.7万</v>
      </c>
      <c r="V29" s="290"/>
      <c r="W29" s="290" t="str">
        <f>IFERROR(INDEX(数据底稿2!$A$50:$N$59,MATCH($D$2&amp;$H$2,数据底稿2!$A$50:$A$59,0),12),"/")</f>
        <v>3.9万</v>
      </c>
      <c r="X29" s="292"/>
      <c r="Y29" s="224" t="s">
        <v>230</v>
      </c>
      <c r="Z29" s="118"/>
      <c r="AA29" s="332">
        <v>95</v>
      </c>
    </row>
    <row r="30" ht="40" customHeight="1" spans="1:27">
      <c r="A30" s="126"/>
      <c r="B30" s="127"/>
      <c r="C30" s="126"/>
      <c r="D30" s="312" t="s">
        <v>30</v>
      </c>
      <c r="E30" s="313"/>
      <c r="F30" s="313"/>
      <c r="G30" s="314" t="str">
        <f>IF(OR(C26=FALSE,C26="",ISERROR(C26)),"",IF(OR(G9="",ISERROR(G9)),"",IFERROR(IF(G9&lt;=INDEX(数据底稿1!$I:$I,MATCH($D$2&amp;"|"&amp;$H$2&amp;"|人均服务网点数",数据底稿1!$Z:$Z,0)),INDEX(数据底稿1!$L:$L,MATCH($D$2&amp;"|"&amp;$H$2&amp;"|人均服务网点数",数据底稿1!$Z:$Z,0)),IF(G9&lt;=INDEX(数据底稿1!$M:$M,MATCH($D$2&amp;"|"&amp;$H$2&amp;"|人均服务网点数",数据底稿1!$Z:$Z,0)),INDEX(数据底稿1!$P:$P,MATCH($D$2&amp;"|"&amp;$H$2&amp;"|人均服务网点数",数据底稿1!$Z:$Z,0)),IF(OR(INDEX(数据底稿1!$Q:$Q,MATCH($D$2&amp;"|"&amp;$H$2&amp;"|人均服务网点数",数据底稿1!$Z:$Z,0))="",G9&lt;=INDEX(数据底稿1!$Q:$Q,MATCH($D$2&amp;"|"&amp;$H$2&amp;"|人均服务网点数",数据底稿1!$Z:$Z,0))),INDEX(数据底稿1!$T:$T,MATCH($D$2&amp;"|"&amp;$H$2&amp;"|人均服务网点数",数据底稿1!$Z:$Z,0)),IFERROR(IF(INDEX(数据底稿1!$X:$X,MATCH($D$2&amp;"|"&amp;$H$2&amp;"|人均服务网点数",数据底稿1!$Z:$Z,0))="","",INDEX(数据底稿1!$X:$X,MATCH($D$2&amp;"|"&amp;$H$2&amp;"|人均服务网点数",数据底稿1!$Z:$Z,0))),"")))),"")))</f>
        <v>人均服务网点数处于同类经销商中的领先水平，单兵服务密度极高，人员负荷处于满载状态。建议关注人效，防止服务质量下降。</v>
      </c>
      <c r="H30" s="315"/>
      <c r="I30" s="315"/>
      <c r="J30" s="315"/>
      <c r="K30" s="315"/>
      <c r="L30" s="315"/>
      <c r="M30" s="315"/>
      <c r="N30" s="315"/>
      <c r="O30" s="316"/>
      <c r="P30" s="317"/>
      <c r="Q30" s="318"/>
      <c r="R30" s="318"/>
      <c r="S30" s="343"/>
      <c r="T30" s="343"/>
      <c r="U30" s="318"/>
      <c r="V30" s="318"/>
      <c r="W30" s="318"/>
      <c r="X30" s="344"/>
      <c r="Y30" s="339" t="s">
        <v>231</v>
      </c>
      <c r="Z30" s="18"/>
      <c r="AA30" s="340">
        <v>20</v>
      </c>
    </row>
    <row r="31" ht="44" customHeight="1" spans="1:27">
      <c r="A31" s="126"/>
      <c r="B31" s="127"/>
      <c r="C31" s="126"/>
      <c r="D31" s="312" t="s">
        <v>38</v>
      </c>
      <c r="E31" s="313"/>
      <c r="F31" s="313"/>
      <c r="G31" s="314" t="str">
        <f>IF(OR(C26=FALSE,C26="",ISERROR(C26)),"",IF(OR(G10="",ISERROR(G10)),"",IFERROR(IF(G10&lt;=INDEX(数据底稿1!$I:$I,MATCH($D$2&amp;"|"&amp;$H$2&amp;"|人效",数据底稿1!$Z:$Z,0)),INDEX(数据底稿1!$L:$L,MATCH($D$2&amp;"|"&amp;$H$2&amp;"|人效",数据底稿1!$Z:$Z,0)),IF(G10&lt;=INDEX(数据底稿1!$M:$M,MATCH($D$2&amp;"|"&amp;$H$2&amp;"|人效",数据底稿1!$Z:$Z,0)),INDEX(数据底稿1!$P:$P,MATCH($D$2&amp;"|"&amp;$H$2&amp;"|人效",数据底稿1!$Z:$Z,0)),IF(OR(INDEX(数据底稿1!$Q:$Q,MATCH($D$2&amp;"|"&amp;$H$2&amp;"|人效",数据底稿1!$Z:$Z,0))="",G10&lt;=INDEX(数据底稿1!$Q:$Q,MATCH($D$2&amp;"|"&amp;$H$2&amp;"|人效",数据底稿1!$Z:$Z,0))),INDEX(数据底稿1!$T:$T,MATCH($D$2&amp;"|"&amp;$H$2&amp;"|人效",数据底稿1!$Z:$Z,0)),IFERROR(IF(INDEX(数据底稿1!$X:$X,MATCH($D$2&amp;"|"&amp;$H$2&amp;"|人效",数据底稿1!$Z:$Z,0))="","",INDEX(数据底稿1!$X:$X,MATCH($D$2&amp;"|"&amp;$H$2&amp;"|人效",数据底稿1!$Z:$Z,0))),"")))),"")))</f>
        <v>人效处于同类经销商中的领先水平，人力资源利用充分，人均创造价值高。建议关注销售额整体构成，提升净利润水平。</v>
      </c>
      <c r="H31" s="315"/>
      <c r="I31" s="315"/>
      <c r="J31" s="315"/>
      <c r="K31" s="315"/>
      <c r="L31" s="315"/>
      <c r="M31" s="315"/>
      <c r="N31" s="315"/>
      <c r="O31" s="345"/>
      <c r="P31" s="346" t="s">
        <v>232</v>
      </c>
      <c r="Q31" s="347"/>
      <c r="R31" s="347"/>
      <c r="S31" s="347"/>
      <c r="T31" s="347"/>
      <c r="U31" s="347" t="s">
        <v>233</v>
      </c>
      <c r="V31" s="347"/>
      <c r="W31" s="347"/>
      <c r="X31" s="348"/>
      <c r="Y31" s="187" t="s">
        <v>234</v>
      </c>
      <c r="Z31" s="199"/>
      <c r="AA31" s="349">
        <v>70</v>
      </c>
    </row>
    <row r="32" ht="40" customHeight="1" spans="1:27">
      <c r="A32" s="126"/>
      <c r="B32" s="127"/>
      <c r="C32" s="126"/>
      <c r="D32" s="312" t="s">
        <v>42</v>
      </c>
      <c r="E32" s="313"/>
      <c r="F32" s="313"/>
      <c r="G32" s="314" t="str">
        <f>IF(OR(C26=FALSE,C26="",ISERROR(C26)),"",IF(OR(M10="",ISERROR(M10)),"",IFERROR(IF(M10&lt;=INDEX(数据底稿1!$I:$I,MATCH($D$2&amp;"|"&amp;$H$2&amp;"|乡镇覆盖率",数据底稿1!$Z:$Z,0)),INDEX(数据底稿1!$L:$L,MATCH($D$2&amp;"|"&amp;$H$2&amp;"|乡镇覆盖率",数据底稿1!$Z:$Z,0)),IF(M10&lt;=INDEX(数据底稿1!$M:$M,MATCH($D$2&amp;"|"&amp;$H$2&amp;"|乡镇覆盖率",数据底稿1!$Z:$Z,0)),INDEX(数据底稿1!$P:$P,MATCH($D$2&amp;"|"&amp;$H$2&amp;"|乡镇覆盖率",数据底稿1!$Z:$Z,0)),IF(OR(INDEX(数据底稿1!$Q:$Q,MATCH($D$2&amp;"|"&amp;$H$2&amp;"|乡镇覆盖率",数据底稿1!$Z:$Z,0))="",M10&lt;=INDEX(数据底稿1!$Q:$Q,MATCH($D$2&amp;"|"&amp;$H$2&amp;"|乡镇覆盖率",数据底稿1!$Z:$Z,0))),INDEX(数据底稿1!$T:$T,MATCH($D$2&amp;"|"&amp;$H$2&amp;"|乡镇覆盖率",数据底稿1!$Z:$Z,0)),IFERROR(IF(INDEX(数据底稿1!$X:$X,MATCH($D$2&amp;"|"&amp;$H$2&amp;"|乡镇覆盖率",数据底稿1!$Z:$Z,0))="","",INDEX(数据底稿1!$X:$X,MATCH($D$2&amp;"|"&amp;$H$2&amp;"|乡镇覆盖率",数据底稿1!$Z:$Z,0))),"")))),"")))</f>
        <v>乡镇覆盖率处于同类经销商中的领先水平，乡镇市场渗透充分。建议关注乡镇网点的产值表现，制定差异化运营方案，优化产品和服务策略。</v>
      </c>
      <c r="H32" s="315"/>
      <c r="I32" s="315"/>
      <c r="J32" s="315"/>
      <c r="K32" s="315"/>
      <c r="L32" s="315"/>
      <c r="M32" s="315"/>
      <c r="N32" s="315"/>
      <c r="O32" s="345"/>
      <c r="P32" s="317" t="s">
        <v>169</v>
      </c>
      <c r="Q32" s="350" t="str">
        <f>IFERROR(INDEX(数据底稿2!$A$50:$N$59,MATCH($D$2&amp;$H$2,数据底稿2!$A$50:$A$59,0),13),"/")</f>
        <v>33 : 44 : 7 : 10 : 2 : 4</v>
      </c>
      <c r="R32" s="350"/>
      <c r="S32" s="351"/>
      <c r="T32" s="351"/>
      <c r="U32" s="351" t="s">
        <v>169</v>
      </c>
      <c r="V32" s="352" t="str">
        <f>IFERROR(INDEX(数据底稿2!$A$50:$N$59,MATCH($D$2&amp;$H$2,数据底稿2!$A$50:$A$59,0),14),"/")</f>
        <v>93：04：03</v>
      </c>
      <c r="W32" s="352"/>
      <c r="X32" s="353"/>
      <c r="Y32" s="339" t="s">
        <v>235</v>
      </c>
      <c r="Z32" s="18"/>
      <c r="AA32" s="354"/>
    </row>
    <row r="33" ht="40" customHeight="1" spans="1:27">
      <c r="A33" s="126"/>
      <c r="B33" s="127"/>
      <c r="C33" s="126"/>
      <c r="D33" s="312" t="s">
        <v>23</v>
      </c>
      <c r="E33" s="313"/>
      <c r="F33" s="313"/>
      <c r="G33" s="314" t="str">
        <f>IF(OR(C26=FALSE,C26="",ISERROR(C26)),"",IF(OR(M7="",ISERROR(M7)),"",IFERROR(IF(M7&lt;=INDEX(数据底稿1!$I:$I,MATCH($D$2&amp;"|"&amp;$H$2&amp;"|单店产出",数据底稿1!$Z:$Z,0)),INDEX(数据底稿1!$L:$L,MATCH($D$2&amp;"|"&amp;$H$2&amp;"|单店产出",数据底稿1!$Z:$Z,0)),IF(M7&lt;=INDEX(数据底稿1!$M:$M,MATCH($D$2&amp;"|"&amp;$H$2&amp;"|单店产出",数据底稿1!$Z:$Z,0)),INDEX(数据底稿1!$P:$P,MATCH($D$2&amp;"|"&amp;$H$2&amp;"|单店产出",数据底稿1!$Z:$Z,0)),IF(OR(INDEX(数据底稿1!$Q:$Q,MATCH($D$2&amp;"|"&amp;$H$2&amp;"|单店产出",数据底稿1!$Z:$Z,0))="",M7&lt;=INDEX(数据底稿1!$Q:$Q,MATCH($D$2&amp;"|"&amp;$H$2&amp;"|单店产出",数据底稿1!$Z:$Z,0))),INDEX(数据底稿1!$T:$T,MATCH($D$2&amp;"|"&amp;$H$2&amp;"|单店产出",数据底稿1!$Z:$Z,0)),IFERROR(IF(INDEX(数据底稿1!$X:$X,MATCH($D$2&amp;"|"&amp;$H$2&amp;"|单店产出",数据底稿1!$Z:$Z,0))="","",INDEX(数据底稿1!$X:$X,MATCH($D$2&amp;"|"&amp;$H$2&amp;"|单店产出",数据底稿1!$Z:$Z,0))),"")))),"")))</f>
        <v>单店产值处于同类经销商中的领先水平，头部门店表现突出。建议分析头部门店成功经验，复制推广至其他门店，防范因过度依赖少数头部门店而导致的结构性风险。</v>
      </c>
      <c r="H33" s="315"/>
      <c r="I33" s="315"/>
      <c r="J33" s="315"/>
      <c r="K33" s="315"/>
      <c r="L33" s="315"/>
      <c r="M33" s="315"/>
      <c r="N33" s="315"/>
      <c r="O33" s="345"/>
      <c r="P33" s="355" t="s">
        <v>236</v>
      </c>
      <c r="Q33" s="356"/>
      <c r="R33" s="356"/>
      <c r="S33" s="356"/>
      <c r="T33" s="356"/>
      <c r="U33" s="356"/>
      <c r="V33" s="356"/>
      <c r="W33" s="356"/>
      <c r="X33" s="357"/>
      <c r="Y33" s="358" t="s">
        <v>235</v>
      </c>
      <c r="AA33" s="359"/>
    </row>
    <row r="34" ht="40" customHeight="1" spans="1:27">
      <c r="A34" s="126"/>
      <c r="B34" s="127"/>
      <c r="C34" s="126"/>
      <c r="D34" s="312" t="s">
        <v>27</v>
      </c>
      <c r="E34" s="313"/>
      <c r="F34" s="313"/>
      <c r="G34" s="314" t="str">
        <f>IF(OR(C26=FALSE,C26="",ISERROR(C26)),"",IF(OR(M8="",ISERROR(M8)),"",IFERROR(IF(M8&lt;=INDEX(数据底稿1!$I:$I,MATCH($D$2&amp;"|"&amp;$H$2&amp;"|有效门店占比",数据底稿1!$Z:$Z,0)),INDEX(数据底稿1!$L:$L,MATCH($D$2&amp;"|"&amp;$H$2&amp;"|有效门店占比",数据底稿1!$Z:$Z,0)),IF(M8&lt;=INDEX(数据底稿1!$M:$M,MATCH($D$2&amp;"|"&amp;$H$2&amp;"|有效门店占比",数据底稿1!$Z:$Z,0)),INDEX(数据底稿1!$P:$P,MATCH($D$2&amp;"|"&amp;$H$2&amp;"|有效门店占比",数据底稿1!$Z:$Z,0)),IF(OR(INDEX(数据底稿1!$Q:$Q,MATCH($D$2&amp;"|"&amp;$H$2&amp;"|有效门店占比",数据底稿1!$Z:$Z,0))="",M8&lt;=INDEX(数据底稿1!$Q:$Q,MATCH($D$2&amp;"|"&amp;$H$2&amp;"|有效门店占比",数据底稿1!$Z:$Z,0))),INDEX(数据底稿1!$T:$T,MATCH($D$2&amp;"|"&amp;$H$2&amp;"|有效门店占比",数据底稿1!$Z:$Z,0)),IFERROR(IF(INDEX(数据底稿1!$X:$X,MATCH($D$2&amp;"|"&amp;$H$2&amp;"|有效门店占比",数据底稿1!$Z:$Z,0))="","",INDEX(数据底稿1!$X:$X,MATCH($D$2&amp;"|"&amp;$H$2&amp;"|有效门店占比",数据底稿1!$Z:$Z,0))),"")))),"")))</f>
        <v>有效门店占比处于同类经销商中的领先水平，网点拜访率及陈列合格率高，资源利用效率高。建议关注高拜访率门店的产值表现。</v>
      </c>
      <c r="H34" s="315"/>
      <c r="I34" s="315"/>
      <c r="J34" s="315"/>
      <c r="K34" s="315"/>
      <c r="L34" s="315"/>
      <c r="M34" s="315"/>
      <c r="N34" s="315"/>
      <c r="O34" s="316"/>
      <c r="P34" s="360" t="s">
        <v>89</v>
      </c>
      <c r="Q34" s="361"/>
      <c r="R34" s="362" t="str">
        <f>IF(U6="","",IF(U6&gt;=INDEX(数据底稿2!C4:K4,1,MATCH($D$2&amp;$H$2,数据底稿2!$C$3:$K$3,0)),数据底稿2!$B$22,IF(U6&gt;=INDEX(数据底稿2!C5:K5,1,MATCH($D$2&amp;$H$2,数据底稿2!$C$3:$K$3,0)),数据底稿2!$C$22,IF(U6&gt;=INDEX(数据底稿2!C6:K6,1,MATCH($D$2&amp;$H$2,数据底稿2!$C$3:$K$3,0)),数据底稿2!$D$22,数据底稿2!$E$22))))</f>
        <v>会员活跃率接近参考值，仍有提升空间</v>
      </c>
      <c r="S34" s="362"/>
      <c r="T34" s="362"/>
      <c r="U34" s="362"/>
      <c r="V34" s="362"/>
      <c r="W34" s="362"/>
      <c r="X34" s="363"/>
      <c r="Y34" s="364" t="s">
        <v>209</v>
      </c>
      <c r="Z34" s="158"/>
      <c r="AA34" s="365"/>
    </row>
    <row r="35" ht="40" customHeight="1" spans="1:27">
      <c r="A35" s="126"/>
      <c r="B35" s="127"/>
      <c r="C35" s="126"/>
      <c r="D35" s="312" t="s">
        <v>34</v>
      </c>
      <c r="E35" s="313"/>
      <c r="F35" s="313"/>
      <c r="G35" s="314" t="str">
        <f>IF(OR(C26=FALSE,C26="",ISERROR(C26)),"",IF(OR(M9="",ISERROR(M9)),"",IFERROR(IF(M9&lt;=INDEX(数据底稿1!$I:$I,MATCH($D$2&amp;"|"&amp;$H$2&amp;"|自有人员数量",数据底稿1!$Z:$Z,0)),INDEX(数据底稿1!$L:$L,MATCH($D$2&amp;"|"&amp;$H$2&amp;"|自有人员数量",数据底稿1!$Z:$Z,0)),IF(M9&lt;=INDEX(数据底稿1!$M:$M,MATCH($D$2&amp;"|"&amp;$H$2&amp;"|自有人员数量",数据底稿1!$Z:$Z,0)),INDEX(数据底稿1!$P:$P,MATCH($D$2&amp;"|"&amp;$H$2&amp;"|自有人员数量",数据底稿1!$Z:$Z,0)),IF(OR(INDEX(数据底稿1!$Q:$Q,MATCH($D$2&amp;"|"&amp;$H$2&amp;"|自有人员数量",数据底稿1!$Z:$Z,0))="",M9&lt;=INDEX(数据底稿1!$Q:$Q,MATCH($D$2&amp;"|"&amp;$H$2&amp;"|自有人员数量",数据底稿1!$Z:$Z,0))),INDEX(数据底稿1!$T:$T,MATCH($D$2&amp;"|"&amp;$H$2&amp;"|自有人员数量",数据底稿1!$Z:$Z,0)),IFERROR(IF(INDEX(数据底稿1!$X:$X,MATCH($D$2&amp;"|"&amp;$H$2&amp;"|自有人员数量",数据底稿1!$Z:$Z,0))="","",INDEX(数据底稿1!$X:$X,MATCH($D$2&amp;"|"&amp;$H$2&amp;"|自有人员数量",数据底稿1!$Z:$Z,0))),"")))),"")))</f>
        <v>自有人员数量处于同类经销商中的领先水平，具备深耕市场的团队基础。建议结合渠道发展合理分工，加强人员专业技能培训，提升团队整体素质；建立人员梯队建设计划，保障团队可持续发展。</v>
      </c>
      <c r="H35" s="315"/>
      <c r="I35" s="315"/>
      <c r="J35" s="315"/>
      <c r="K35" s="315"/>
      <c r="L35" s="315"/>
      <c r="M35" s="315"/>
      <c r="N35" s="315"/>
      <c r="O35" s="316"/>
      <c r="P35" s="366"/>
      <c r="Q35" s="367"/>
      <c r="R35" s="368"/>
      <c r="S35" s="368"/>
      <c r="T35" s="368"/>
      <c r="U35" s="368"/>
      <c r="V35" s="368"/>
      <c r="W35" s="368"/>
      <c r="X35" s="369"/>
      <c r="Y35" s="370" t="s">
        <v>237</v>
      </c>
      <c r="AA35" s="371">
        <f>AA27/SUM(AA27:AA33)</f>
        <v>0.273972602739726</v>
      </c>
    </row>
    <row r="36" ht="40" customHeight="1" spans="1:27">
      <c r="A36" s="126"/>
      <c r="B36" s="127"/>
      <c r="C36" s="126"/>
      <c r="D36" s="312" t="s">
        <v>45</v>
      </c>
      <c r="E36" s="313"/>
      <c r="F36" s="313"/>
      <c r="G36" s="314" t="str">
        <f>IF(OR(C26=FALSE,C26="",ISERROR(C26)),"",IF(OR(G11="",ISERROR(G11)),"",IFERROR(IF(G11&lt;=INDEX(数据底稿1!$I:$I,MATCH($D$2&amp;"|"&amp;$H$2&amp;"|会员数量",数据底稿1!$Z:$Z,0)),INDEX(数据底稿1!$L:$L,MATCH($D$2&amp;"|"&amp;$H$2&amp;"|会员数量",数据底稿1!$Z:$Z,0)),IF(G11&lt;=INDEX(数据底稿1!$M:$M,MATCH($D$2&amp;"|"&amp;$H$2&amp;"|会员数量",数据底稿1!$Z:$Z,0)),INDEX(数据底稿1!$P:$P,MATCH($D$2&amp;"|"&amp;$H$2&amp;"|会员数量",数据底稿1!$Z:$Z,0)),IF(OR(INDEX(数据底稿1!$Q:$Q,MATCH($D$2&amp;"|"&amp;$H$2&amp;"|会员数量",数据底稿1!$Z:$Z,0))="",G11&lt;=INDEX(数据底稿1!$Q:$Q,MATCH($D$2&amp;"|"&amp;$H$2&amp;"|会员数量",数据底稿1!$Z:$Z,0))),INDEX(数据底稿1!$T:$T,MATCH($D$2&amp;"|"&amp;$H$2&amp;"|会员数量",数据底稿1!$Z:$Z,0)),IFERROR(IF(INDEX(数据底稿1!$X:$X,MATCH($D$2&amp;"|"&amp;$H$2&amp;"|会员数量",数据底稿1!$Z:$Z,0))="","",INDEX(数据底稿1!$X:$X,MATCH($D$2&amp;"|"&amp;$H$2&amp;"|会员数量",数据底稿1!$Z:$Z,0))),"")))),"")))</f>
        <v>会员数量处于同类经销商中的领先水平，市场影响力强，客户资源丰富。建议建立会员分级管理体系，提升高价值会员服务质量；制定会员活跃度提升计划，增强会员粘性。</v>
      </c>
      <c r="H36" s="315"/>
      <c r="I36" s="315"/>
      <c r="J36" s="315"/>
      <c r="K36" s="315"/>
      <c r="L36" s="315"/>
      <c r="M36" s="315"/>
      <c r="N36" s="315"/>
      <c r="O36" s="316"/>
      <c r="P36" s="360" t="s">
        <v>93</v>
      </c>
      <c r="Q36" s="361"/>
      <c r="R36" s="362" t="str">
        <f>IF(U8="","",IF(U8&gt;=INDEX(数据底稿2!C7:K7,1,MATCH($D$2&amp;$H$2,数据底稿2!$C$3:$K$3,0)),数据底稿2!$B$23,IF(U8&gt;=INDEX(数据底稿2!C8:K8,1,MATCH($D$2&amp;$H$2,数据底稿2!$C$3:$K$3,0)),数据底稿2!$C$23,IF(U8&gt;=INDEX(数据底稿2!C9:K9,1,MATCH($D$2&amp;$H$2,数据底稿2!$C$3:$K$3,0)),数据底稿2!$D$23,数据底稿2!$E$23))))</f>
        <v>家装销售占比显著偏低，亟需开发家装渠道，如油工、设计带动等</v>
      </c>
      <c r="S36" s="362"/>
      <c r="T36" s="362"/>
      <c r="U36" s="362"/>
      <c r="V36" s="362"/>
      <c r="W36" s="362"/>
      <c r="X36" s="363"/>
      <c r="Y36" s="372" t="s">
        <v>126</v>
      </c>
      <c r="Z36" s="158"/>
      <c r="AA36" s="373">
        <f>MAX(AA28:AA33)/SUM(AA27:AA33)</f>
        <v>0.26027397260274</v>
      </c>
    </row>
    <row r="37" ht="40" customHeight="1" spans="1:27">
      <c r="A37" s="126"/>
      <c r="B37" s="127"/>
      <c r="C37" s="126"/>
      <c r="D37" s="312" t="s">
        <v>238</v>
      </c>
      <c r="E37" s="313"/>
      <c r="F37" s="313"/>
      <c r="G37" s="314" t="str">
        <f>IF(OR(C26=FALSE,C26="",ISERROR(C26)),"",IF(OR(M11="",ISERROR(M11)),"",IFERROR(IF(M11&lt;=INDEX(数据底稿1!$I:$I,MATCH($D$2&amp;"|"&amp;$H$2&amp;"|会员人均产出",数据底稿1!$Z:$Z,0)),INDEX(数据底稿1!$L:$L,MATCH($D$2&amp;"|"&amp;$H$2&amp;"|会员人均产出",数据底稿1!$Z:$Z,0)),IF(M11&lt;=INDEX(数据底稿1!$M:$M,MATCH($D$2&amp;"|"&amp;$H$2&amp;"|会员人均产出",数据底稿1!$Z:$Z,0)),INDEX(数据底稿1!$P:$P,MATCH($D$2&amp;"|"&amp;$H$2&amp;"|会员人均产出",数据底稿1!$Z:$Z,0)),IF(OR(INDEX(数据底稿1!$Q:$Q,MATCH($D$2&amp;"|"&amp;$H$2&amp;"|会员人均产出",数据底稿1!$Z:$Z,0))="",M11&lt;=INDEX(数据底稿1!$Q:$Q,MATCH($D$2&amp;"|"&amp;$H$2&amp;"|会员人均产出",数据底稿1!$Z:$Z,0))),INDEX(数据底稿1!$T:$T,MATCH($D$2&amp;"|"&amp;$H$2&amp;"|会员人均产出",数据底稿1!$Z:$Z,0)),IFERROR(IF(INDEX(数据底稿1!$X:$X,MATCH($D$2&amp;"|"&amp;$H$2&amp;"|会员人均产出",数据底稿1!$Z:$Z,0))="","",INDEX(数据底稿1!$X:$X,MATCH($D$2&amp;"|"&amp;$H$2&amp;"|会员人均产出",数据底稿1!$Z:$Z,0))),"")))),"")))</f>
        <v>会员人均产出处于同类经销商中的领先水平，核心会员粘性强、贡献大。建议与核心会员签订协议，建立长期合作关系，保证稳定性。</v>
      </c>
      <c r="H37" s="315"/>
      <c r="I37" s="315"/>
      <c r="J37" s="315"/>
      <c r="K37" s="315"/>
      <c r="L37" s="315"/>
      <c r="M37" s="315"/>
      <c r="N37" s="315"/>
      <c r="O37" s="316"/>
      <c r="P37" s="366"/>
      <c r="Q37" s="367"/>
      <c r="R37" s="368"/>
      <c r="S37" s="368"/>
      <c r="T37" s="368"/>
      <c r="U37" s="368"/>
      <c r="V37" s="368"/>
      <c r="W37" s="368"/>
      <c r="X37" s="369"/>
      <c r="Y37" s="374" t="s">
        <v>239</v>
      </c>
      <c r="Z37" s="179"/>
      <c r="AA37" s="375">
        <f>IF(MAX(AA28:AA33)=0,"-",AA27/MAX(AA28:AA33))</f>
        <v>1.05263157894737</v>
      </c>
    </row>
    <row r="38" ht="40" customHeight="1" spans="1:27">
      <c r="A38" s="126"/>
      <c r="B38" s="127"/>
      <c r="C38" s="221"/>
      <c r="D38" s="324" t="s">
        <v>190</v>
      </c>
      <c r="E38" s="325"/>
      <c r="F38" s="325"/>
      <c r="G38" s="326" t="str">
        <f>IF(OR(C26=FALSE,C26="",ISERROR(C26)),"",IF(OR(G12="",ISERROR(G12)),"",IFERROR(IF(G12&lt;INDEX(数据底稿1!$I:$I,MATCH($D$2&amp;"|"&amp;$H$2&amp;"|渠道数量",数据底稿1!$Z:$Z,0)),INDEX(数据底稿1!$L:$L,MATCH($D$2&amp;"|"&amp;$H$2&amp;"|渠道数量",数据底稿1!$Z:$Z,0)),IF(G12&lt;INDEX(数据底稿1!$M:$M,MATCH($D$2&amp;"|"&amp;$H$2&amp;"|渠道数量",数据底稿1!$Z:$Z,0)),INDEX(数据底稿1!$P:$P,MATCH($D$2&amp;"|"&amp;$H$2&amp;"|渠道数量",数据底稿1!$Z:$Z,0)),IF(OR(INDEX(数据底稿1!$Q:$Q,MATCH($D$2&amp;"|"&amp;$H$2&amp;"|渠道数量",数据底稿1!$Z:$Z,0))="",G12&lt;INDEX(数据底稿1!$Q:$Q,MATCH($D$2&amp;"|"&amp;$H$2&amp;"|渠道数量",数据底稿1!$Z:$Z,0))),INDEX(数据底稿1!$T:$T,MATCH($D$2&amp;"|"&amp;$H$2&amp;"|渠道数量",数据底稿1!$Z:$Z,0)),IFERROR(IF(INDEX(数据底稿1!$X:$X,MATCH($D$2&amp;"|"&amp;$H$2&amp;"|渠道数量",数据底稿1!$Z:$Z,0))="","",INDEX(数据底稿1!$X:$X,MATCH($D$2&amp;"|"&amp;$H$2&amp;"|渠道数量",数据底稿1!$Z:$Z,0))),"")))),"")))</f>
        <v>渠道数量处于同类经销商中的领先水平，业务结构健康多元，具备一定盈利能力和发展潜力，抗风险能力强。建议针对低产出渠道进行资源倾斜。</v>
      </c>
      <c r="H38" s="327"/>
      <c r="I38" s="327"/>
      <c r="J38" s="327"/>
      <c r="K38" s="327"/>
      <c r="L38" s="327"/>
      <c r="M38" s="327"/>
      <c r="N38" s="327"/>
      <c r="O38" s="327"/>
      <c r="P38" s="360" t="s">
        <v>100</v>
      </c>
      <c r="Q38" s="361"/>
      <c r="R38" s="362" t="str">
        <f>IF(U10="","",IF(U10&gt;=INDEX(数据底稿2!C10:K10,1,MATCH($D$2&amp;$H$2,数据底稿2!$C$3:$K$3,0)),数据底稿2!$B$24,IF(U10&gt;=INDEX(数据底稿2!C11:K11,1,MATCH($D$2&amp;$H$2,数据底稿2!$C$3:$K$3,0)),数据底稿2!$C$24,IF(U10&gt;=INDEX(数据底稿2!C12:K12,1,MATCH($D$2&amp;$H$2,数据底稿2!$C$3:$K$3,0)),数据底稿2!$D$24,数据底稿2!$E$24))))</f>
        <v>单家装公司产出接近参考值，可持续挖掘单客价值</v>
      </c>
      <c r="S38" s="362"/>
      <c r="T38" s="362"/>
      <c r="U38" s="362"/>
      <c r="V38" s="362"/>
      <c r="W38" s="362"/>
      <c r="X38" s="363"/>
      <c r="Y38" s="376" t="s">
        <v>240</v>
      </c>
      <c r="AA38" s="127"/>
    </row>
    <row r="39" ht="40" customHeight="1" spans="1:27">
      <c r="A39" s="126"/>
      <c r="B39" s="127"/>
      <c r="C39" s="333" t="s">
        <v>191</v>
      </c>
      <c r="D39" s="377" t="s">
        <v>192</v>
      </c>
      <c r="E39" s="378"/>
      <c r="F39" s="378"/>
      <c r="G39" s="379" t="str">
        <f>IF(OR(C26=FALSE,C26="",ISERROR(C26)),"",IF(OR(G13="",ISERROR(G13)),"",IFERROR(IF(G13&lt;INDEX(数据底稿1!$I:$I,MATCH($D$2&amp;"|"&amp;$H$2&amp;"|品类数量",数据底稿1!$Z:$Z,0)),INDEX(数据底稿1!$L:$L,MATCH($D$2&amp;"|"&amp;$H$2&amp;"|品类数量",数据底稿1!$Z:$Z,0)),IF(G13&lt;INDEX(数据底稿1!$M:$M,MATCH($D$2&amp;"|"&amp;$H$2&amp;"|品类数量",数据底稿1!$Z:$Z,0)),INDEX(数据底稿1!$P:$P,MATCH($D$2&amp;"|"&amp;$H$2&amp;"|品类数量",数据底稿1!$Z:$Z,0)),IF(OR(INDEX(数据底稿1!$Q:$Q,MATCH($D$2&amp;"|"&amp;$H$2&amp;"|品类数量",数据底稿1!$Z:$Z,0))="",G13&lt;INDEX(数据底稿1!$Q:$Q,MATCH($D$2&amp;"|"&amp;$H$2&amp;"|品类数量",数据底稿1!$Z:$Z,0))),INDEX(数据底稿1!$T:$T,MATCH($D$2&amp;"|"&amp;$H$2&amp;"|品类数量",数据底稿1!$Z:$Z,0)),IFERROR(IF(INDEX(数据底稿1!$X:$X,MATCH($D$2&amp;"|"&amp;$H$2&amp;"|品类数量",数据底稿1!$Z:$Z,0))="","",INDEX(数据底稿1!$X:$X,MATCH($D$2&amp;"|"&amp;$H$2&amp;"|品类数量",数据底稿1!$Z:$Z,0))),"")))),"")))</f>
        <v>品类数量处于同类经销商中的领先水平，品类结构丰富，具备一站式综合服务基础，市场竞争力强。建议分级管理品类，明确利润品与销量品，保持品类活力。</v>
      </c>
      <c r="H39" s="380"/>
      <c r="I39" s="380"/>
      <c r="J39" s="380"/>
      <c r="K39" s="380"/>
      <c r="L39" s="380"/>
      <c r="M39" s="380"/>
      <c r="N39" s="380"/>
      <c r="O39" s="380"/>
      <c r="P39" s="366"/>
      <c r="Q39" s="367"/>
      <c r="R39" s="368"/>
      <c r="S39" s="368"/>
      <c r="T39" s="368"/>
      <c r="U39" s="368"/>
      <c r="V39" s="368"/>
      <c r="W39" s="368"/>
      <c r="X39" s="369"/>
      <c r="Y39" s="199"/>
      <c r="Z39" s="199"/>
      <c r="AA39" s="308"/>
    </row>
    <row r="40" ht="40" customHeight="1" spans="1:27">
      <c r="A40" s="126"/>
      <c r="B40" s="127"/>
      <c r="C40" s="333" t="s">
        <v>111</v>
      </c>
      <c r="D40" s="334" t="s">
        <v>60</v>
      </c>
      <c r="E40" s="335"/>
      <c r="F40" s="335"/>
      <c r="G40" s="336" t="str">
        <f>IF(OR(C26=FALSE,C26="",ISERROR(C26)),"",IF(OR(G15="",ISERROR(G15)),"",IFERROR(IF(G15&lt;=INDEX(数据底稿1!$I:$I,MATCH($D$2&amp;"|"&amp;$H$2&amp;"|坪效",数据底稿1!$Z:$Z,0)),INDEX(数据底稿1!$L:$L,MATCH($D$2&amp;"|"&amp;$H$2&amp;"|坪效",数据底稿1!$Z:$Z,0)),IF(G15&lt;=INDEX(数据底稿1!$M:$M,MATCH($D$2&amp;"|"&amp;$H$2&amp;"|坪效",数据底稿1!$Z:$Z,0)),INDEX(数据底稿1!$P:$P,MATCH($D$2&amp;"|"&amp;$H$2&amp;"|坪效",数据底稿1!$Z:$Z,0)),IF(OR(INDEX(数据底稿1!$Q:$Q,MATCH($D$2&amp;"|"&amp;$H$2&amp;"|坪效",数据底稿1!$Z:$Z,0))="",G15&lt;=INDEX(数据底稿1!$Q:$Q,MATCH($D$2&amp;"|"&amp;$H$2&amp;"|坪效",数据底稿1!$Z:$Z,0))),INDEX(数据底稿1!$T:$T,MATCH($D$2&amp;"|"&amp;$H$2&amp;"|坪效",数据底稿1!$Z:$Z,0)),IFERROR(IF(INDEX(数据底稿1!$X:$X,MATCH($D$2&amp;"|"&amp;$H$2&amp;"|坪效",数据底稿1!$Z:$Z,0))="","",INDEX(数据底稿1!$X:$X,MATCH($D$2&amp;"|"&amp;$H$2&amp;"|坪效",数据底稿1!$Z:$Z,0))),"")))),"")))</f>
        <v>坪效处于同类经销商中的领先水平，仓储运营的精细化管理程度高，成本控制好。建议根据毛利润调整产品组合，持续优化。</v>
      </c>
      <c r="H40" s="337"/>
      <c r="I40" s="337"/>
      <c r="J40" s="337"/>
      <c r="K40" s="337"/>
      <c r="L40" s="337"/>
      <c r="M40" s="337"/>
      <c r="N40" s="337"/>
      <c r="O40" s="337"/>
      <c r="P40" s="360" t="s">
        <v>105</v>
      </c>
      <c r="Q40" s="361"/>
      <c r="R40" s="362" t="str">
        <f>IF(U13="","",IF(U13&gt;=INDEX(数据底稿2!C16:K16,1,MATCH($D$2&amp;$H$2,数据底稿2!$C$3:$K$3,0)),数据底稿2!$B$25,IF(U13&gt;=INDEX(数据底稿2!C17:K17,1,MATCH($D$2&amp;$H$2,数据底稿2!$C$3:$K$3,0)),数据底稿2!$C$25,IF(U13&gt;=INDEX(数据底稿2!C18:K18,1,MATCH($D$2&amp;$H$2,数据底稿2!$C$3:$K$3,0)),数据底稿2!$D$25,数据底稿2!$E$25))))</f>
        <v>工单转化率已达参考值，在维持转化率的同时关注工单质量</v>
      </c>
      <c r="S40" s="362"/>
      <c r="T40" s="362"/>
      <c r="U40" s="362"/>
      <c r="V40" s="362"/>
      <c r="W40" s="362"/>
      <c r="X40" s="363"/>
      <c r="Y40" s="381" t="str">
        <f>IF(AA37="","",IF(AA37&gt;1.5,[1]数据底稿2!$B$30,IF(AND(AA37&gt;=0.8,AA37&lt;=1.5),[1]数据底稿2!$B$31,IF(AND(AA37&gt;=0.5,AA37&lt;0.8),[1]数据底稿2!$B$32,IF(AA37&lt;0.5,[1]数据底稿2!$B$33,"")))))</f>
        <v>竞争格局：势均力敌，激烈胶着</v>
      </c>
      <c r="AA40" s="127"/>
    </row>
    <row r="41" ht="40" customHeight="1" spans="1:27">
      <c r="A41" s="126"/>
      <c r="B41" s="127"/>
      <c r="C41" s="126"/>
      <c r="D41" s="312" t="s">
        <v>64</v>
      </c>
      <c r="E41" s="313"/>
      <c r="F41" s="313"/>
      <c r="G41" s="314" t="str">
        <f>IF(OR(C26=FALSE,C26="",ISERROR(C26)),"",IF(OR(G14="",ISERROR(G14)),"",IFERROR(IF(G14&lt;=INDEX(数据底稿1!$I:$I,MATCH($D$2&amp;"|"&amp;$H$2&amp;"|分销会次数",数据底稿1!$Z:$Z,0)),INDEX(数据底稿1!$L:$L,MATCH($D$2&amp;"|"&amp;$H$2&amp;"|分销会次数",数据底稿1!$Z:$Z,0)),IF(G14&lt;=INDEX(数据底稿1!$M:$M,MATCH($D$2&amp;"|"&amp;$H$2&amp;"|分销会次数",数据底稿1!$Z:$Z,0)),INDEX(数据底稿1!$P:$P,MATCH($D$2&amp;"|"&amp;$H$2&amp;"|分销会次数",数据底稿1!$Z:$Z,0)),IF(OR(INDEX(数据底稿1!$Q:$Q,MATCH($D$2&amp;"|"&amp;$H$2&amp;"|分销会次数",数据底稿1!$Z:$Z,0))="",G14&lt;=INDEX(数据底稿1!$Q:$Q,MATCH($D$2&amp;"|"&amp;$H$2&amp;"|分销会次数",数据底稿1!$Z:$Z,0))),INDEX(数据底稿1!$T:$T,MATCH($D$2&amp;"|"&amp;$H$2&amp;"|分销会次数",数据底稿1!$Z:$Z,0)),IFERROR(IF(INDEX(数据底稿1!$X:$X,MATCH($D$2&amp;"|"&amp;$H$2&amp;"|分销会次数",数据底稿1!$Z:$Z,0))="","",INDEX(数据底稿1!$X:$X,MATCH($D$2&amp;"|"&amp;$H$2&amp;"|分销会次数",数据底稿1!$Z:$Z,0))),"")))),"")))</f>
        <v>分销会场次处于同类经销商中的领先水平，在激活分销网络上具备主动性，渠道维护积极。建议提升会议质量和针对性，增强会议效果，关注分销单店产值。</v>
      </c>
      <c r="H41" s="315"/>
      <c r="I41" s="315"/>
      <c r="J41" s="315"/>
      <c r="K41" s="315"/>
      <c r="L41" s="315"/>
      <c r="M41" s="315"/>
      <c r="N41" s="315"/>
      <c r="O41" s="316"/>
      <c r="P41" s="366"/>
      <c r="Q41" s="367"/>
      <c r="R41" s="368"/>
      <c r="S41" s="368"/>
      <c r="T41" s="368"/>
      <c r="U41" s="368"/>
      <c r="V41" s="368"/>
      <c r="W41" s="368"/>
      <c r="X41" s="369"/>
      <c r="AA41" s="127"/>
    </row>
    <row r="42" ht="40" customHeight="1" spans="1:27">
      <c r="A42" s="126"/>
      <c r="B42" s="127"/>
      <c r="C42" s="126"/>
      <c r="D42" s="312" t="s">
        <v>67</v>
      </c>
      <c r="E42" s="313"/>
      <c r="F42" s="313"/>
      <c r="G42" s="314" t="str">
        <f>IF(OR(C26=FALSE,C26="",ISERROR(C26)),"",IF(OR(M14="",ISERROR(M14)),"",IFERROR(IF(M14&lt;=INDEX(数据底稿1!$I:$I,MATCH($D$2&amp;"|"&amp;$H$2&amp;"|专业人士会议次数",数据底稿1!$Z:$Z,0)),INDEX(数据底稿1!$L:$L,MATCH($D$2&amp;"|"&amp;$H$2&amp;"|专业人士会议次数",数据底稿1!$Z:$Z,0)),IF(M14&lt;=INDEX(数据底稿1!$M:$M,MATCH($D$2&amp;"|"&amp;$H$2&amp;"|专业人士会议次数",数据底稿1!$Z:$Z,0)),INDEX(数据底稿1!$P:$P,MATCH($D$2&amp;"|"&amp;$H$2&amp;"|专业人士会议次数",数据底稿1!$Z:$Z,0)),IF(OR(INDEX(数据底稿1!$Q:$Q,MATCH($D$2&amp;"|"&amp;$H$2&amp;"|专业人士会议次数",数据底稿1!$Z:$Z,0))="",M14&lt;=INDEX(数据底稿1!$Q:$Q,MATCH($D$2&amp;"|"&amp;$H$2&amp;"|专业人士会议次数",数据底稿1!$Z:$Z,0))),INDEX(数据底稿1!$T:$T,MATCH($D$2&amp;"|"&amp;$H$2&amp;"|专业人士会议次数",数据底稿1!$Z:$Z,0)),IFERROR(IF(INDEX(数据底稿1!$X:$X,MATCH($D$2&amp;"|"&amp;$H$2&amp;"|专业人士会议次数",数据底稿1!$Z:$Z,0))="","",INDEX(数据底稿1!$X:$X,MATCH($D$2&amp;"|"&amp;$H$2&amp;"|专业人士会议次数",数据底稿1!$Z:$Z,0))),"")))),"")))</f>
        <v>专业人士会议场次处于同类经销商中的领先水平，会议开展积极，客情维护到位。 建议关注会员人均产出，防范资源浪费。</v>
      </c>
      <c r="H42" s="315"/>
      <c r="I42" s="315"/>
      <c r="J42" s="315"/>
      <c r="K42" s="315"/>
      <c r="L42" s="315"/>
      <c r="M42" s="315"/>
      <c r="N42" s="315"/>
      <c r="O42" s="316"/>
      <c r="P42" s="382" t="s">
        <v>109</v>
      </c>
      <c r="Q42" s="383"/>
      <c r="R42" s="384" t="str">
        <f>IF(U15="","",IF(U15&gt;=INDEX(数据底稿2!C13:K13,1,MATCH($D$2&amp;$H$2,数据底稿2!$C$3:$K$3,0)),数据底稿2!$B$26,IF(U15&gt;=INDEX(数据底稿2!C14:K14,1,MATCH($D$2&amp;$H$2,数据底稿2!$C$3:$K$3,0)),数据底稿2!$C$26,IF(U15&gt;=INDEX(数据底稿2!C15:K15,1,MATCH($D$2&amp;$H$2,数据底稿2!$C$3:$K$3,0)),数据底稿2!$D$26,数据底稿2!$E$26))))</f>
        <v>月均工单数量接近参考值，可进一步优化服务流程</v>
      </c>
      <c r="S42" s="384"/>
      <c r="T42" s="384"/>
      <c r="U42" s="384"/>
      <c r="V42" s="384"/>
      <c r="W42" s="384"/>
      <c r="X42" s="385"/>
      <c r="AA42" s="127"/>
    </row>
    <row r="43" ht="40" customHeight="1" spans="1:27">
      <c r="A43" s="221"/>
      <c r="B43" s="308"/>
      <c r="C43" s="221"/>
      <c r="D43" s="324" t="s">
        <v>70</v>
      </c>
      <c r="E43" s="386"/>
      <c r="F43" s="386"/>
      <c r="G43" s="326" t="str">
        <f>IF(OR(C26=FALSE,C26="",ISERROR(C26)),"",IF(OR(G16="",ISERROR(G16)),"",IFERROR(IF(LOWER(G16)=INDEX(数据底稿1!$I:$I,MATCH($D$2&amp;"|"&amp;$H$2&amp;"|数字化水平",数据底稿1!$Z:$Z,0)),INDEX(数据底稿1!$L:$L,MATCH($D$2&amp;"|"&amp;$H$2&amp;"|数字化水平",数据底稿1!$Z:$Z,0)),IF(LOWER(G16)=INDEX(数据底稿1!$M:$M,MATCH($D$2&amp;"|"&amp;$H$2&amp;"|数字化水平",数据底稿1!$Z:$Z,0)),INDEX(数据底稿1!$P:$P,MATCH($D$2&amp;"|"&amp;$H$2&amp;"|数字化水平",数据底稿1!$Z:$Z,0)),IF(LOWER(G16)=INDEX(数据底稿1!$Q:$Q,MATCH($D$2&amp;"|"&amp;$H$2&amp;"|数字化水平",数据底稿1!$Z:$Z,0)),INDEX(数据底稿1!$T:$T,MATCH($D$2&amp;"|"&amp;$H$2&amp;"|数字化水平",数据底稿1!$Z:$Z,0)),INDEX(数据底稿1!$X:$X,MATCH($D$2&amp;"|"&amp;$H$2&amp;"|数字化水平",数据底稿1!$Z:$Z,0))))),"")))</f>
        <v>数字化水平处于同类经销商中的领先水平，具备数据驱动决策能力。建议加强数据分析能力建设，用数据指导经营，提升决策效率。</v>
      </c>
      <c r="H43" s="327"/>
      <c r="I43" s="327"/>
      <c r="J43" s="327"/>
      <c r="K43" s="327"/>
      <c r="L43" s="327"/>
      <c r="M43" s="327"/>
      <c r="N43" s="327"/>
      <c r="O43" s="327"/>
      <c r="P43" s="366"/>
      <c r="Q43" s="367"/>
      <c r="R43" s="368"/>
      <c r="S43" s="368"/>
      <c r="T43" s="368"/>
      <c r="U43" s="368"/>
      <c r="V43" s="368"/>
      <c r="W43" s="368"/>
      <c r="X43" s="369"/>
      <c r="Y43" s="199"/>
      <c r="Z43" s="199"/>
      <c r="AA43" s="308"/>
    </row>
    <row r="44" ht="15" spans="1:27">
      <c r="A44"/>
      <c r="C44"/>
      <c r="D44" s="387"/>
      <c r="E44"/>
      <c r="Y44" s="388"/>
      <c r="Z44" s="388"/>
    </row>
    <row r="45" ht="15" spans="1:27">
      <c r="A45"/>
      <c r="C45"/>
      <c r="D45" s="387"/>
      <c r="Y45" s="388"/>
      <c r="Z45" s="388"/>
    </row>
    <row r="46" ht="15" spans="1:27">
      <c r="A46" s="389"/>
      <c r="C46" s="389"/>
      <c r="X46" s="388"/>
      <c r="Y46" s="390"/>
      <c r="Z46" s="391"/>
    </row>
    <row r="47" ht="15" spans="1:27">
      <c r="X47" s="388"/>
      <c r="Y47" s="390"/>
      <c r="Z47" s="391"/>
    </row>
    <row r="48" ht="15" spans="1:27">
      <c r="X48" s="388"/>
      <c r="Y48" s="390"/>
      <c r="Z48" s="391"/>
    </row>
    <row r="49" ht="15" spans="24:26">
      <c r="X49" s="388"/>
      <c r="Y49" s="390"/>
      <c r="Z49" s="391"/>
    </row>
    <row r="50" ht="15" spans="24:26">
      <c r="X50" s="388"/>
      <c r="Y50" s="390"/>
      <c r="Z50" s="391"/>
    </row>
    <row r="51" ht="15" spans="24:26">
      <c r="X51" s="388"/>
      <c r="Y51" s="390"/>
      <c r="Z51" s="391"/>
    </row>
    <row r="52" ht="15" spans="24:26">
      <c r="X52" s="388"/>
      <c r="Y52" s="390"/>
      <c r="Z52" s="391"/>
    </row>
    <row r="53" ht="15" spans="24:26">
      <c r="X53" s="388"/>
      <c r="Y53" s="388"/>
      <c r="Z53" s="388"/>
    </row>
    <row r="54" ht="15" spans="24:26">
      <c r="X54" s="388"/>
      <c r="Y54" s="388"/>
      <c r="Z54" s="388"/>
    </row>
    <row r="55" ht="15" spans="24:26">
      <c r="X55" s="388"/>
      <c r="Y55" s="388"/>
      <c r="Z55" s="388"/>
    </row>
  </sheetData>
  <sheetProtection algorithmName="SHA-512" hashValue="8Idx5pZqU4fLXZ5iFYuIEecDHkNw/UaXiaHTtBrB8Ejve7upgvDTv3l47HAwn6j184IRFSXbPb38KVHRDdxOwQ==" saltValue="DxBgmT52t1MWlg4GapQ9GA==" spinCount="100000" sheet="1" objects="1"/>
  <protectedRanges>
    <protectedRange sqref="M14" name="区域1"/>
    <protectedRange sqref="M6:M11" name="区域2"/>
    <protectedRange sqref="U6:V17" name="区域3"/>
    <protectedRange sqref="G6:G23" name="区域4"/>
  </protectedRanges>
  <mergeCells count="181">
    <mergeCell ref="B1:AA1"/>
    <mergeCell ref="B2:C2"/>
    <mergeCell ref="H2:I2"/>
    <mergeCell ref="J2:AA2"/>
    <mergeCell ref="A5:C5"/>
    <mergeCell ref="Q5:R5"/>
    <mergeCell ref="U5:V5"/>
    <mergeCell ref="Y5:AA5"/>
    <mergeCell ref="Y6:Z6"/>
    <mergeCell ref="Y7:AA7"/>
    <mergeCell ref="J12:O12"/>
    <mergeCell ref="J13:O13"/>
    <mergeCell ref="J15:O15"/>
    <mergeCell ref="P18:X18"/>
    <mergeCell ref="Y18:AA18"/>
    <mergeCell ref="Y22:AA22"/>
    <mergeCell ref="Y25:AA25"/>
    <mergeCell ref="G26:O26"/>
    <mergeCell ref="Y26:Z26"/>
    <mergeCell ref="G27:O27"/>
    <mergeCell ref="Y27:Z27"/>
    <mergeCell ref="G28:O28"/>
    <mergeCell ref="Y28:Z28"/>
    <mergeCell ref="G29:O29"/>
    <mergeCell ref="Y29:Z29"/>
    <mergeCell ref="G30:O30"/>
    <mergeCell ref="Y30:Z30"/>
    <mergeCell ref="G31:O31"/>
    <mergeCell ref="P31:R31"/>
    <mergeCell ref="U31:X31"/>
    <mergeCell ref="Y31:Z31"/>
    <mergeCell ref="G32:O32"/>
    <mergeCell ref="Q32:R32"/>
    <mergeCell ref="V32:X32"/>
    <mergeCell ref="Y32:Z32"/>
    <mergeCell ref="G33:O33"/>
    <mergeCell ref="P33:X33"/>
    <mergeCell ref="Y33:Z33"/>
    <mergeCell ref="G34:O34"/>
    <mergeCell ref="Y34:AA34"/>
    <mergeCell ref="G35:O35"/>
    <mergeCell ref="Y35:Z35"/>
    <mergeCell ref="G36:O36"/>
    <mergeCell ref="Y36:Z36"/>
    <mergeCell ref="G37:O37"/>
    <mergeCell ref="Y37:Z37"/>
    <mergeCell ref="G38:O38"/>
    <mergeCell ref="G39:O39"/>
    <mergeCell ref="G40:O40"/>
    <mergeCell ref="G41:O41"/>
    <mergeCell ref="G42:O42"/>
    <mergeCell ref="G43:O43"/>
    <mergeCell ref="A1:A2"/>
    <mergeCell ref="A6:A13"/>
    <mergeCell ref="A14:A17"/>
    <mergeCell ref="A18:A23"/>
    <mergeCell ref="B6:B12"/>
    <mergeCell ref="B14:B17"/>
    <mergeCell ref="B18:B23"/>
    <mergeCell ref="C7:C10"/>
    <mergeCell ref="C26:C27"/>
    <mergeCell ref="C28:C38"/>
    <mergeCell ref="C40:C43"/>
    <mergeCell ref="E16:E17"/>
    <mergeCell ref="E18:E19"/>
    <mergeCell ref="E20:E21"/>
    <mergeCell ref="E22:E23"/>
    <mergeCell ref="F16:F17"/>
    <mergeCell ref="F18:F19"/>
    <mergeCell ref="F20:F21"/>
    <mergeCell ref="F22:F23"/>
    <mergeCell ref="G16:G17"/>
    <mergeCell ref="G18:G19"/>
    <mergeCell ref="G20:G21"/>
    <mergeCell ref="G22:G23"/>
    <mergeCell ref="H16:H17"/>
    <mergeCell ref="H18:H19"/>
    <mergeCell ref="H20:H21"/>
    <mergeCell ref="H22:H23"/>
    <mergeCell ref="P6:P7"/>
    <mergeCell ref="P8:P12"/>
    <mergeCell ref="P13:P17"/>
    <mergeCell ref="P19:P20"/>
    <mergeCell ref="P21:P22"/>
    <mergeCell ref="P23:P24"/>
    <mergeCell ref="P25:P26"/>
    <mergeCell ref="P27:P28"/>
    <mergeCell ref="P29:P30"/>
    <mergeCell ref="Q19:Q20"/>
    <mergeCell ref="Q21:Q22"/>
    <mergeCell ref="Q23:Q24"/>
    <mergeCell ref="Q25:Q26"/>
    <mergeCell ref="Q27:Q28"/>
    <mergeCell ref="Q29:Q30"/>
    <mergeCell ref="R19:R20"/>
    <mergeCell ref="R21:R22"/>
    <mergeCell ref="R23:R24"/>
    <mergeCell ref="R25:R26"/>
    <mergeCell ref="R27:R28"/>
    <mergeCell ref="R29:R30"/>
    <mergeCell ref="S6:S7"/>
    <mergeCell ref="S8:S9"/>
    <mergeCell ref="S10:S12"/>
    <mergeCell ref="S13:S14"/>
    <mergeCell ref="S15:S17"/>
    <mergeCell ref="T6:T7"/>
    <mergeCell ref="T8:T9"/>
    <mergeCell ref="T10:T12"/>
    <mergeCell ref="T13:T14"/>
    <mergeCell ref="T15:T17"/>
    <mergeCell ref="W6:W7"/>
    <mergeCell ref="W8:W9"/>
    <mergeCell ref="W10:W12"/>
    <mergeCell ref="W13:W14"/>
    <mergeCell ref="W15:W17"/>
    <mergeCell ref="X6:X7"/>
    <mergeCell ref="X8:X9"/>
    <mergeCell ref="X10:X12"/>
    <mergeCell ref="X13:X14"/>
    <mergeCell ref="X15:X17"/>
    <mergeCell ref="Y8:Y9"/>
    <mergeCell ref="Y10:Y11"/>
    <mergeCell ref="Y16:Y17"/>
    <mergeCell ref="Y19:Y20"/>
    <mergeCell ref="Z8:Z9"/>
    <mergeCell ref="Z10:Z11"/>
    <mergeCell ref="Z16:Z17"/>
    <mergeCell ref="Z19:Z20"/>
    <mergeCell ref="AA8:AA9"/>
    <mergeCell ref="AA10:AA11"/>
    <mergeCell ref="AA16:AA17"/>
    <mergeCell ref="AA19:AA20"/>
    <mergeCell ref="A24:B25"/>
    <mergeCell ref="Q13:R14"/>
    <mergeCell ref="U13:V14"/>
    <mergeCell ref="Q15:R17"/>
    <mergeCell ref="U15:V17"/>
    <mergeCell ref="C20:D21"/>
    <mergeCell ref="C22:D23"/>
    <mergeCell ref="P3:X4"/>
    <mergeCell ref="I22:O23"/>
    <mergeCell ref="A26:B43"/>
    <mergeCell ref="C16:D17"/>
    <mergeCell ref="I16:O17"/>
    <mergeCell ref="I18:O19"/>
    <mergeCell ref="I20:O21"/>
    <mergeCell ref="A3:O4"/>
    <mergeCell ref="C24:O25"/>
    <mergeCell ref="C18:D19"/>
    <mergeCell ref="Q6:R7"/>
    <mergeCell ref="U6:V7"/>
    <mergeCell ref="Y14:AA15"/>
    <mergeCell ref="Y40:AA43"/>
    <mergeCell ref="Y38:AA39"/>
    <mergeCell ref="Y23:AA24"/>
    <mergeCell ref="Q8:R9"/>
    <mergeCell ref="U8:V9"/>
    <mergeCell ref="Q10:R12"/>
    <mergeCell ref="U10:V12"/>
    <mergeCell ref="Y3:AA4"/>
    <mergeCell ref="U19:V20"/>
    <mergeCell ref="W19:X20"/>
    <mergeCell ref="U23:V24"/>
    <mergeCell ref="U21:V22"/>
    <mergeCell ref="W21:X22"/>
    <mergeCell ref="U25:V26"/>
    <mergeCell ref="W23:X26"/>
    <mergeCell ref="U27:V28"/>
    <mergeCell ref="W27:X28"/>
    <mergeCell ref="R34:X35"/>
    <mergeCell ref="P34:Q35"/>
    <mergeCell ref="P36:Q37"/>
    <mergeCell ref="P38:Q39"/>
    <mergeCell ref="P40:Q41"/>
    <mergeCell ref="P42:Q43"/>
    <mergeCell ref="R36:X37"/>
    <mergeCell ref="R38:X39"/>
    <mergeCell ref="R40:X41"/>
    <mergeCell ref="R42:X43"/>
    <mergeCell ref="U29:V30"/>
    <mergeCell ref="W29:X30"/>
  </mergeCells>
  <dataValidations count="3">
    <dataValidation type="list" sqref="D2">
      <formula1>"超特,一二级,三四级"</formula1>
    </dataValidation>
    <dataValidation type="list" sqref="H2">
      <formula1>"300W-1000W,1000W-2000W,2000W+"</formula1>
    </dataValidation>
    <dataValidation type="list" allowBlank="1" sqref="AA6">
      <formula1>"总体,防水,砂浆,美缝,卷材,墙辅,胶业,管业"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Z195"/>
  <sheetViews>
    <sheetView zoomScale="82" zoomScaleNormal="82" topLeftCell="A184" workbookViewId="0">
      <selection activeCell="A1" sqref="A1:Z195"/>
    </sheetView>
  </sheetViews>
  <sheetFormatPr defaultColWidth="12.7272727272727" defaultRowHeight="14"/>
  <cols>
    <col min="1" max="1" width="12.7272727272727" style="70" customWidth="1"/>
    <col min="2" max="2" width="16.6363636363636" style="70" customWidth="1"/>
    <col min="3" max="6" width="12.7272727272727" style="70" customWidth="1"/>
    <col min="7" max="7" width="12.7272727272727" style="71" customWidth="1"/>
    <col min="8" max="11" width="12.7272727272727" style="70" customWidth="1"/>
    <col min="12" max="12" width="50.7272727272727" style="70" customWidth="1"/>
    <col min="13" max="15" width="12.7272727272727" style="70" customWidth="1"/>
    <col min="16" max="16" width="50.7272727272727" style="70" customWidth="1"/>
    <col min="17" max="19" width="12.7272727272727" style="70" customWidth="1"/>
    <col min="20" max="20" width="50.7272727272727" style="70" customWidth="1"/>
    <col min="21" max="23" width="12.7272727272727" style="70" customWidth="1"/>
    <col min="24" max="24" width="50.7272727272727" style="70" customWidth="1"/>
    <col min="25" max="25" width="12.7272727272727" style="70" customWidth="1"/>
    <col min="26" max="26" width="27.3636363636364" style="70" customWidth="1"/>
    <col min="27" max="27" width="12.7272727272727" style="72" customWidth="1"/>
    <col min="28" max="16384" width="12.7272727272727" style="72"/>
  </cols>
  <sheetData>
    <row r="1" ht="28.75" customHeight="1" spans="1:26">
      <c r="A1" s="73" t="s">
        <v>241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5"/>
    </row>
    <row r="2" ht="14.5" spans="1:26">
      <c r="A2" s="76" t="s">
        <v>242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5"/>
    </row>
    <row r="3" ht="14.5" spans="1:26">
      <c r="A3" s="77" t="s">
        <v>243</v>
      </c>
      <c r="B3" s="74"/>
      <c r="C3" s="74"/>
      <c r="D3" s="74"/>
      <c r="E3" s="74"/>
      <c r="F3" s="74"/>
      <c r="G3" s="74"/>
      <c r="H3" s="75"/>
      <c r="I3" s="77" t="s">
        <v>244</v>
      </c>
      <c r="J3" s="74"/>
      <c r="K3" s="74"/>
      <c r="L3" s="75"/>
      <c r="M3" s="77" t="s">
        <v>245</v>
      </c>
      <c r="N3" s="74"/>
      <c r="O3" s="74"/>
      <c r="P3" s="75"/>
      <c r="Q3" s="77" t="s">
        <v>246</v>
      </c>
      <c r="R3" s="74"/>
      <c r="S3" s="74"/>
      <c r="T3" s="75"/>
      <c r="U3" s="77" t="s">
        <v>247</v>
      </c>
      <c r="V3" s="74"/>
      <c r="W3" s="74"/>
      <c r="X3" s="75"/>
      <c r="Y3" s="77" t="s">
        <v>248</v>
      </c>
      <c r="Z3" s="75"/>
    </row>
    <row r="4" s="69" customFormat="1" ht="27" customHeight="1" spans="1:26">
      <c r="A4" s="78" t="s">
        <v>156</v>
      </c>
      <c r="B4" s="78" t="s">
        <v>249</v>
      </c>
      <c r="C4" s="78" t="s">
        <v>250</v>
      </c>
      <c r="D4" s="78" t="s">
        <v>251</v>
      </c>
      <c r="E4" s="78" t="s">
        <v>3</v>
      </c>
      <c r="F4" s="78" t="s">
        <v>4</v>
      </c>
      <c r="G4" s="78" t="s">
        <v>165</v>
      </c>
      <c r="H4" s="78" t="s">
        <v>252</v>
      </c>
      <c r="I4" s="78" t="s">
        <v>253</v>
      </c>
      <c r="J4" s="78" t="s">
        <v>254</v>
      </c>
      <c r="K4" s="78" t="s">
        <v>255</v>
      </c>
      <c r="L4" s="78" t="s">
        <v>256</v>
      </c>
      <c r="M4" s="78" t="s">
        <v>257</v>
      </c>
      <c r="N4" s="78" t="s">
        <v>258</v>
      </c>
      <c r="O4" s="78" t="s">
        <v>259</v>
      </c>
      <c r="P4" s="78" t="s">
        <v>260</v>
      </c>
      <c r="Q4" s="78" t="s">
        <v>261</v>
      </c>
      <c r="R4" s="78" t="s">
        <v>262</v>
      </c>
      <c r="S4" s="78" t="s">
        <v>263</v>
      </c>
      <c r="T4" s="78" t="s">
        <v>264</v>
      </c>
      <c r="U4" s="78" t="s">
        <v>265</v>
      </c>
      <c r="V4" s="78" t="s">
        <v>266</v>
      </c>
      <c r="W4" s="78" t="s">
        <v>267</v>
      </c>
      <c r="X4" s="79" t="s">
        <v>268</v>
      </c>
      <c r="Y4" s="78" t="s">
        <v>269</v>
      </c>
      <c r="Z4" s="78" t="s">
        <v>270</v>
      </c>
    </row>
    <row r="5" ht="41" customHeight="1" spans="1:26">
      <c r="A5" s="80" t="s">
        <v>271</v>
      </c>
      <c r="B5" s="80" t="s">
        <v>272</v>
      </c>
      <c r="C5" s="80" t="s">
        <v>172</v>
      </c>
      <c r="D5" s="80" t="s">
        <v>173</v>
      </c>
      <c r="E5" s="81" t="s">
        <v>8</v>
      </c>
      <c r="F5" s="80" t="s">
        <v>9</v>
      </c>
      <c r="G5" s="80">
        <v>0.1</v>
      </c>
      <c r="H5" s="82">
        <v>1</v>
      </c>
      <c r="I5" s="80">
        <v>0.849999999999999</v>
      </c>
      <c r="J5" s="80">
        <v>0.1</v>
      </c>
      <c r="K5" s="80" t="s">
        <v>273</v>
      </c>
      <c r="L5" s="83" t="s">
        <v>274</v>
      </c>
      <c r="M5" s="80">
        <v>0.899999999999999</v>
      </c>
      <c r="N5" s="80">
        <v>0.11</v>
      </c>
      <c r="O5" s="80" t="s">
        <v>275</v>
      </c>
      <c r="P5" s="83" t="s">
        <v>276</v>
      </c>
      <c r="Q5" s="80">
        <v>0.99999999999999</v>
      </c>
      <c r="R5" s="80">
        <v>0.12</v>
      </c>
      <c r="S5" s="80" t="s">
        <v>277</v>
      </c>
      <c r="T5" s="83" t="s">
        <v>278</v>
      </c>
      <c r="U5" s="80" t="s">
        <v>279</v>
      </c>
      <c r="V5" s="80">
        <v>0.144</v>
      </c>
      <c r="W5" s="84" t="s">
        <v>280</v>
      </c>
      <c r="X5" s="85" t="s">
        <v>281</v>
      </c>
      <c r="Y5" s="86" t="s">
        <v>282</v>
      </c>
      <c r="Z5" s="87" t="s">
        <v>283</v>
      </c>
    </row>
    <row r="6" ht="41" customHeight="1" spans="1:26">
      <c r="A6" s="88" t="s">
        <v>271</v>
      </c>
      <c r="B6" s="88" t="s">
        <v>272</v>
      </c>
      <c r="C6" s="88" t="s">
        <v>172</v>
      </c>
      <c r="D6" s="88" t="s">
        <v>173</v>
      </c>
      <c r="E6" s="81" t="s">
        <v>12</v>
      </c>
      <c r="F6" s="88" t="s">
        <v>9</v>
      </c>
      <c r="G6" s="88">
        <v>0.1</v>
      </c>
      <c r="H6" s="88">
        <v>0.34</v>
      </c>
      <c r="I6" s="88">
        <v>-1e-17</v>
      </c>
      <c r="J6" s="88">
        <v>0</v>
      </c>
      <c r="K6" s="88" t="s">
        <v>284</v>
      </c>
      <c r="L6" s="83" t="s">
        <v>285</v>
      </c>
      <c r="M6" s="88">
        <v>0.15</v>
      </c>
      <c r="N6" s="88">
        <v>0.04</v>
      </c>
      <c r="O6" s="88" t="s">
        <v>286</v>
      </c>
      <c r="P6" s="83" t="s">
        <v>287</v>
      </c>
      <c r="Q6" s="88">
        <v>0.34</v>
      </c>
      <c r="R6" s="88">
        <v>0.07</v>
      </c>
      <c r="S6" s="88" t="s">
        <v>288</v>
      </c>
      <c r="T6" s="83" t="s">
        <v>289</v>
      </c>
      <c r="U6" s="88" t="s">
        <v>279</v>
      </c>
      <c r="V6" s="88">
        <v>0.1</v>
      </c>
      <c r="W6" s="89" t="s">
        <v>290</v>
      </c>
      <c r="X6" s="83" t="s">
        <v>291</v>
      </c>
      <c r="Y6" s="90"/>
      <c r="Z6" s="87" t="s">
        <v>292</v>
      </c>
    </row>
    <row r="7" ht="41" customHeight="1" spans="1:26">
      <c r="A7" s="80" t="s">
        <v>271</v>
      </c>
      <c r="B7" s="80" t="s">
        <v>272</v>
      </c>
      <c r="C7" s="80" t="s">
        <v>172</v>
      </c>
      <c r="D7" s="80" t="s">
        <v>15</v>
      </c>
      <c r="E7" s="81" t="s">
        <v>16</v>
      </c>
      <c r="F7" s="80" t="s">
        <v>17</v>
      </c>
      <c r="G7" s="80">
        <v>0.058</v>
      </c>
      <c r="H7" s="80" t="s">
        <v>293</v>
      </c>
      <c r="I7" s="80">
        <v>36.5</v>
      </c>
      <c r="J7" s="80">
        <v>30</v>
      </c>
      <c r="K7" s="80" t="s">
        <v>294</v>
      </c>
      <c r="L7" s="83" t="s">
        <v>295</v>
      </c>
      <c r="M7" s="80">
        <v>114</v>
      </c>
      <c r="N7" s="80">
        <v>50</v>
      </c>
      <c r="O7" s="80" t="s">
        <v>296</v>
      </c>
      <c r="P7" s="83" t="s">
        <v>297</v>
      </c>
      <c r="Q7" s="80">
        <v>208.3</v>
      </c>
      <c r="R7" s="80">
        <v>70</v>
      </c>
      <c r="S7" s="80" t="s">
        <v>298</v>
      </c>
      <c r="T7" s="83" t="s">
        <v>299</v>
      </c>
      <c r="U7" s="80" t="s">
        <v>300</v>
      </c>
      <c r="V7" s="80">
        <v>90</v>
      </c>
      <c r="W7" s="84" t="s">
        <v>301</v>
      </c>
      <c r="X7" s="83" t="s">
        <v>302</v>
      </c>
      <c r="Y7" s="86"/>
      <c r="Z7" s="87" t="s">
        <v>303</v>
      </c>
    </row>
    <row r="8" ht="68" customHeight="1" spans="1:26">
      <c r="A8" s="88" t="s">
        <v>271</v>
      </c>
      <c r="B8" s="88" t="s">
        <v>272</v>
      </c>
      <c r="C8" s="88" t="s">
        <v>172</v>
      </c>
      <c r="D8" s="88" t="s">
        <v>15</v>
      </c>
      <c r="E8" s="81" t="s">
        <v>229</v>
      </c>
      <c r="F8" s="88" t="s">
        <v>9</v>
      </c>
      <c r="G8" s="88">
        <v>0.043</v>
      </c>
      <c r="H8" s="88">
        <v>0.214</v>
      </c>
      <c r="I8" s="88">
        <v>0.066</v>
      </c>
      <c r="J8" s="88">
        <v>30</v>
      </c>
      <c r="K8" s="88" t="s">
        <v>294</v>
      </c>
      <c r="L8" s="83" t="s">
        <v>304</v>
      </c>
      <c r="M8" s="88">
        <v>0.148</v>
      </c>
      <c r="N8" s="88">
        <v>50</v>
      </c>
      <c r="O8" s="88" t="s">
        <v>296</v>
      </c>
      <c r="P8" s="83" t="s">
        <v>305</v>
      </c>
      <c r="Q8" s="88">
        <v>0.214</v>
      </c>
      <c r="R8" s="88">
        <v>70</v>
      </c>
      <c r="S8" s="88" t="s">
        <v>298</v>
      </c>
      <c r="T8" s="83" t="s">
        <v>306</v>
      </c>
      <c r="U8" s="88" t="s">
        <v>307</v>
      </c>
      <c r="V8" s="88">
        <v>90</v>
      </c>
      <c r="W8" s="89" t="s">
        <v>301</v>
      </c>
      <c r="X8" s="83" t="s">
        <v>308</v>
      </c>
      <c r="Y8" s="90"/>
      <c r="Z8" s="87" t="s">
        <v>309</v>
      </c>
    </row>
    <row r="9" ht="41" customHeight="1" spans="1:26">
      <c r="A9" s="80" t="s">
        <v>271</v>
      </c>
      <c r="B9" s="80" t="s">
        <v>272</v>
      </c>
      <c r="C9" s="80" t="s">
        <v>172</v>
      </c>
      <c r="D9" s="80" t="s">
        <v>15</v>
      </c>
      <c r="E9" s="81" t="s">
        <v>27</v>
      </c>
      <c r="F9" s="80" t="s">
        <v>9</v>
      </c>
      <c r="G9" s="80">
        <v>0.13</v>
      </c>
      <c r="H9" s="91">
        <v>0.946</v>
      </c>
      <c r="I9" s="80">
        <v>0.762</v>
      </c>
      <c r="J9" s="80">
        <v>30</v>
      </c>
      <c r="K9" s="80" t="s">
        <v>294</v>
      </c>
      <c r="L9" s="83" t="s">
        <v>310</v>
      </c>
      <c r="M9" s="80">
        <v>0.918</v>
      </c>
      <c r="N9" s="80">
        <v>50</v>
      </c>
      <c r="O9" s="80" t="s">
        <v>296</v>
      </c>
      <c r="P9" s="83" t="s">
        <v>311</v>
      </c>
      <c r="Q9" s="80">
        <v>0.946</v>
      </c>
      <c r="R9" s="80">
        <v>70</v>
      </c>
      <c r="S9" s="80" t="s">
        <v>298</v>
      </c>
      <c r="T9" s="83" t="s">
        <v>312</v>
      </c>
      <c r="U9" s="80" t="s">
        <v>313</v>
      </c>
      <c r="V9" s="80">
        <v>90</v>
      </c>
      <c r="W9" s="84" t="s">
        <v>301</v>
      </c>
      <c r="X9" s="83" t="s">
        <v>314</v>
      </c>
      <c r="Y9" s="86"/>
      <c r="Z9" s="87" t="s">
        <v>315</v>
      </c>
    </row>
    <row r="10" ht="41" customHeight="1" spans="1:26">
      <c r="A10" s="88" t="s">
        <v>271</v>
      </c>
      <c r="B10" s="88" t="s">
        <v>272</v>
      </c>
      <c r="C10" s="88" t="s">
        <v>172</v>
      </c>
      <c r="D10" s="88" t="s">
        <v>15</v>
      </c>
      <c r="E10" s="81" t="s">
        <v>30</v>
      </c>
      <c r="F10" s="88" t="s">
        <v>17</v>
      </c>
      <c r="G10" s="88">
        <v>0.048</v>
      </c>
      <c r="H10" s="88" t="s">
        <v>316</v>
      </c>
      <c r="I10" s="88">
        <v>33.2</v>
      </c>
      <c r="J10" s="88">
        <v>30</v>
      </c>
      <c r="K10" s="88" t="s">
        <v>294</v>
      </c>
      <c r="L10" s="83" t="s">
        <v>317</v>
      </c>
      <c r="M10" s="88">
        <v>59.3</v>
      </c>
      <c r="N10" s="88">
        <v>50</v>
      </c>
      <c r="O10" s="88" t="s">
        <v>296</v>
      </c>
      <c r="P10" s="83" t="s">
        <v>318</v>
      </c>
      <c r="Q10" s="88">
        <v>76.6</v>
      </c>
      <c r="R10" s="88">
        <v>70</v>
      </c>
      <c r="S10" s="88" t="s">
        <v>298</v>
      </c>
      <c r="T10" s="83" t="s">
        <v>319</v>
      </c>
      <c r="U10" s="88" t="s">
        <v>320</v>
      </c>
      <c r="V10" s="88">
        <v>90</v>
      </c>
      <c r="W10" s="89" t="s">
        <v>301</v>
      </c>
      <c r="X10" s="83" t="s">
        <v>321</v>
      </c>
      <c r="Y10" s="90"/>
      <c r="Z10" s="87" t="s">
        <v>322</v>
      </c>
    </row>
    <row r="11" ht="55" customHeight="1" spans="1:26">
      <c r="A11" s="80" t="s">
        <v>271</v>
      </c>
      <c r="B11" s="80" t="s">
        <v>272</v>
      </c>
      <c r="C11" s="80" t="s">
        <v>172</v>
      </c>
      <c r="D11" s="80" t="s">
        <v>15</v>
      </c>
      <c r="E11" s="81" t="s">
        <v>34</v>
      </c>
      <c r="F11" s="80" t="s">
        <v>17</v>
      </c>
      <c r="G11" s="80">
        <v>0.024</v>
      </c>
      <c r="H11" s="80" t="s">
        <v>323</v>
      </c>
      <c r="I11" s="80">
        <v>1</v>
      </c>
      <c r="J11" s="80">
        <v>30</v>
      </c>
      <c r="K11" s="80" t="s">
        <v>294</v>
      </c>
      <c r="L11" s="83" t="s">
        <v>324</v>
      </c>
      <c r="M11" s="80">
        <v>2</v>
      </c>
      <c r="N11" s="80">
        <v>50</v>
      </c>
      <c r="O11" s="80" t="s">
        <v>296</v>
      </c>
      <c r="P11" s="83" t="s">
        <v>325</v>
      </c>
      <c r="Q11" s="80">
        <v>3</v>
      </c>
      <c r="R11" s="80">
        <v>70</v>
      </c>
      <c r="S11" s="80" t="s">
        <v>298</v>
      </c>
      <c r="T11" s="83" t="s">
        <v>326</v>
      </c>
      <c r="U11" s="80" t="s">
        <v>327</v>
      </c>
      <c r="V11" s="80">
        <v>90</v>
      </c>
      <c r="W11" s="84" t="s">
        <v>301</v>
      </c>
      <c r="X11" s="83" t="s">
        <v>328</v>
      </c>
      <c r="Y11" s="86"/>
      <c r="Z11" s="87" t="s">
        <v>329</v>
      </c>
    </row>
    <row r="12" ht="41" customHeight="1" spans="1:26">
      <c r="A12" s="88" t="s">
        <v>271</v>
      </c>
      <c r="B12" s="88" t="s">
        <v>272</v>
      </c>
      <c r="C12" s="88" t="s">
        <v>172</v>
      </c>
      <c r="D12" s="88" t="s">
        <v>15</v>
      </c>
      <c r="E12" s="81" t="s">
        <v>38</v>
      </c>
      <c r="F12" s="88" t="s">
        <v>39</v>
      </c>
      <c r="G12" s="88">
        <v>0.072</v>
      </c>
      <c r="H12" s="88" t="s">
        <v>330</v>
      </c>
      <c r="I12" s="88">
        <v>277.2</v>
      </c>
      <c r="J12" s="88">
        <v>30</v>
      </c>
      <c r="K12" s="88" t="s">
        <v>294</v>
      </c>
      <c r="L12" s="83" t="s">
        <v>331</v>
      </c>
      <c r="M12" s="88">
        <v>427.5</v>
      </c>
      <c r="N12" s="88">
        <v>50</v>
      </c>
      <c r="O12" s="88" t="s">
        <v>296</v>
      </c>
      <c r="P12" s="83" t="s">
        <v>332</v>
      </c>
      <c r="Q12" s="88">
        <v>511.8</v>
      </c>
      <c r="R12" s="88">
        <v>70</v>
      </c>
      <c r="S12" s="88" t="s">
        <v>298</v>
      </c>
      <c r="T12" s="83" t="s">
        <v>333</v>
      </c>
      <c r="U12" s="88" t="s">
        <v>334</v>
      </c>
      <c r="V12" s="88">
        <v>90</v>
      </c>
      <c r="W12" s="89" t="s">
        <v>301</v>
      </c>
      <c r="X12" s="83" t="s">
        <v>335</v>
      </c>
      <c r="Y12" s="90"/>
      <c r="Z12" s="87" t="s">
        <v>336</v>
      </c>
    </row>
    <row r="13" ht="55" customHeight="1" spans="1:26">
      <c r="A13" s="80" t="s">
        <v>271</v>
      </c>
      <c r="B13" s="80" t="s">
        <v>272</v>
      </c>
      <c r="C13" s="80" t="s">
        <v>172</v>
      </c>
      <c r="D13" s="80" t="s">
        <v>15</v>
      </c>
      <c r="E13" s="81" t="s">
        <v>42</v>
      </c>
      <c r="F13" s="80" t="s">
        <v>9</v>
      </c>
      <c r="G13" s="80">
        <v>0.01</v>
      </c>
      <c r="H13" s="80">
        <v>1</v>
      </c>
      <c r="I13" s="80">
        <v>0.818</v>
      </c>
      <c r="J13" s="80">
        <v>30</v>
      </c>
      <c r="K13" s="80" t="s">
        <v>294</v>
      </c>
      <c r="L13" s="83" t="s">
        <v>337</v>
      </c>
      <c r="M13" s="80">
        <v>0.909</v>
      </c>
      <c r="N13" s="80">
        <v>50</v>
      </c>
      <c r="O13" s="80" t="s">
        <v>296</v>
      </c>
      <c r="P13" s="83" t="s">
        <v>338</v>
      </c>
      <c r="Q13" s="80">
        <v>1</v>
      </c>
      <c r="R13" s="80">
        <v>70</v>
      </c>
      <c r="S13" s="80" t="s">
        <v>339</v>
      </c>
      <c r="T13" s="83" t="s">
        <v>340</v>
      </c>
      <c r="U13" s="80" t="s">
        <v>279</v>
      </c>
      <c r="V13" s="80"/>
      <c r="W13" s="84"/>
      <c r="X13" s="83" t="s">
        <v>340</v>
      </c>
      <c r="Y13" s="86" t="s">
        <v>341</v>
      </c>
      <c r="Z13" s="87" t="s">
        <v>342</v>
      </c>
    </row>
    <row r="14" ht="55" customHeight="1" spans="1:26">
      <c r="A14" s="88" t="s">
        <v>271</v>
      </c>
      <c r="B14" s="88" t="s">
        <v>272</v>
      </c>
      <c r="C14" s="88" t="s">
        <v>172</v>
      </c>
      <c r="D14" s="88" t="s">
        <v>15</v>
      </c>
      <c r="E14" s="81" t="s">
        <v>23</v>
      </c>
      <c r="F14" s="88" t="s">
        <v>24</v>
      </c>
      <c r="G14" s="88">
        <v>0.095</v>
      </c>
      <c r="H14" s="88" t="s">
        <v>343</v>
      </c>
      <c r="I14" s="88">
        <v>2.8</v>
      </c>
      <c r="J14" s="88">
        <v>30</v>
      </c>
      <c r="K14" s="88" t="s">
        <v>294</v>
      </c>
      <c r="L14" s="83" t="s">
        <v>344</v>
      </c>
      <c r="M14" s="88">
        <v>3.7</v>
      </c>
      <c r="N14" s="88">
        <v>50</v>
      </c>
      <c r="O14" s="88" t="s">
        <v>296</v>
      </c>
      <c r="P14" s="83" t="s">
        <v>345</v>
      </c>
      <c r="Q14" s="88">
        <v>8.4</v>
      </c>
      <c r="R14" s="88">
        <v>70</v>
      </c>
      <c r="S14" s="88" t="s">
        <v>298</v>
      </c>
      <c r="T14" s="83" t="s">
        <v>346</v>
      </c>
      <c r="U14" s="88" t="s">
        <v>347</v>
      </c>
      <c r="V14" s="88">
        <v>90</v>
      </c>
      <c r="W14" s="89" t="s">
        <v>301</v>
      </c>
      <c r="X14" s="83" t="s">
        <v>348</v>
      </c>
      <c r="Y14" s="90" t="s">
        <v>349</v>
      </c>
      <c r="Z14" s="87" t="s">
        <v>350</v>
      </c>
    </row>
    <row r="15" ht="55" customHeight="1" spans="1:26">
      <c r="A15" s="80" t="s">
        <v>271</v>
      </c>
      <c r="B15" s="80" t="s">
        <v>272</v>
      </c>
      <c r="C15" s="80" t="s">
        <v>172</v>
      </c>
      <c r="D15" s="80" t="s">
        <v>44</v>
      </c>
      <c r="E15" s="81" t="s">
        <v>45</v>
      </c>
      <c r="F15" s="80" t="s">
        <v>35</v>
      </c>
      <c r="G15" s="80">
        <v>0.035</v>
      </c>
      <c r="H15" s="80" t="s">
        <v>351</v>
      </c>
      <c r="I15" s="80">
        <v>25</v>
      </c>
      <c r="J15" s="80">
        <v>30</v>
      </c>
      <c r="K15" s="80" t="s">
        <v>294</v>
      </c>
      <c r="L15" s="83" t="s">
        <v>352</v>
      </c>
      <c r="M15" s="80">
        <v>38</v>
      </c>
      <c r="N15" s="80">
        <v>50</v>
      </c>
      <c r="O15" s="80" t="s">
        <v>296</v>
      </c>
      <c r="P15" s="83" t="s">
        <v>353</v>
      </c>
      <c r="Q15" s="80">
        <v>54</v>
      </c>
      <c r="R15" s="80">
        <v>70</v>
      </c>
      <c r="S15" s="80" t="s">
        <v>298</v>
      </c>
      <c r="T15" s="83" t="s">
        <v>354</v>
      </c>
      <c r="U15" s="80" t="s">
        <v>355</v>
      </c>
      <c r="V15" s="80">
        <v>90</v>
      </c>
      <c r="W15" s="84" t="s">
        <v>301</v>
      </c>
      <c r="X15" s="83" t="s">
        <v>356</v>
      </c>
      <c r="Y15" s="86"/>
      <c r="Z15" s="87" t="s">
        <v>357</v>
      </c>
    </row>
    <row r="16" ht="55" customHeight="1" spans="1:26">
      <c r="A16" s="88" t="s">
        <v>271</v>
      </c>
      <c r="B16" s="88" t="s">
        <v>272</v>
      </c>
      <c r="C16" s="88" t="s">
        <v>172</v>
      </c>
      <c r="D16" s="88" t="s">
        <v>44</v>
      </c>
      <c r="E16" s="81" t="s">
        <v>48</v>
      </c>
      <c r="F16" s="88" t="s">
        <v>39</v>
      </c>
      <c r="G16" s="88">
        <v>0.015</v>
      </c>
      <c r="H16" s="88" t="s">
        <v>358</v>
      </c>
      <c r="I16" s="88">
        <v>0.222</v>
      </c>
      <c r="J16" s="88">
        <v>30</v>
      </c>
      <c r="K16" s="88" t="s">
        <v>294</v>
      </c>
      <c r="L16" s="83" t="s">
        <v>359</v>
      </c>
      <c r="M16" s="88">
        <v>0.354</v>
      </c>
      <c r="N16" s="88">
        <v>50</v>
      </c>
      <c r="O16" s="88" t="s">
        <v>296</v>
      </c>
      <c r="P16" s="83" t="s">
        <v>360</v>
      </c>
      <c r="Q16" s="88">
        <v>0.594</v>
      </c>
      <c r="R16" s="88">
        <v>70</v>
      </c>
      <c r="S16" s="88" t="s">
        <v>298</v>
      </c>
      <c r="T16" s="83" t="s">
        <v>361</v>
      </c>
      <c r="U16" s="88" t="s">
        <v>362</v>
      </c>
      <c r="V16" s="88">
        <v>90</v>
      </c>
      <c r="W16" s="89" t="s">
        <v>301</v>
      </c>
      <c r="X16" s="83" t="s">
        <v>363</v>
      </c>
      <c r="Y16" s="90"/>
      <c r="Z16" s="87" t="s">
        <v>364</v>
      </c>
    </row>
    <row r="17" ht="82" customHeight="1" spans="1:26">
      <c r="A17" s="80" t="s">
        <v>271</v>
      </c>
      <c r="B17" s="80" t="s">
        <v>272</v>
      </c>
      <c r="C17" s="80" t="s">
        <v>172</v>
      </c>
      <c r="D17" s="80" t="s">
        <v>52</v>
      </c>
      <c r="E17" s="81" t="s">
        <v>190</v>
      </c>
      <c r="F17" s="80" t="s">
        <v>17</v>
      </c>
      <c r="G17" s="80">
        <v>0.06</v>
      </c>
      <c r="H17" s="80" t="s">
        <v>365</v>
      </c>
      <c r="I17" s="80">
        <v>2</v>
      </c>
      <c r="J17" s="80">
        <v>20</v>
      </c>
      <c r="K17" s="80" t="s">
        <v>366</v>
      </c>
      <c r="L17" s="83" t="s">
        <v>367</v>
      </c>
      <c r="M17" s="80">
        <v>3</v>
      </c>
      <c r="N17" s="80">
        <v>70</v>
      </c>
      <c r="O17" s="80" t="s">
        <v>298</v>
      </c>
      <c r="P17" s="83" t="s">
        <v>368</v>
      </c>
      <c r="Q17" s="80">
        <v>4</v>
      </c>
      <c r="R17" s="80">
        <v>90</v>
      </c>
      <c r="S17" s="80" t="s">
        <v>369</v>
      </c>
      <c r="T17" s="83" t="s">
        <v>370</v>
      </c>
      <c r="U17" s="92" t="s">
        <v>371</v>
      </c>
      <c r="V17" s="80">
        <v>90</v>
      </c>
      <c r="W17" s="84" t="s">
        <v>369</v>
      </c>
      <c r="X17" s="83" t="s">
        <v>372</v>
      </c>
      <c r="Y17" s="93" t="s">
        <v>373</v>
      </c>
      <c r="Z17" s="87" t="s">
        <v>374</v>
      </c>
    </row>
    <row r="18" ht="41" customHeight="1" spans="1:26">
      <c r="A18" s="88" t="s">
        <v>271</v>
      </c>
      <c r="B18" s="88" t="s">
        <v>272</v>
      </c>
      <c r="C18" s="88" t="s">
        <v>172</v>
      </c>
      <c r="D18" s="88" t="s">
        <v>56</v>
      </c>
      <c r="E18" s="81" t="s">
        <v>192</v>
      </c>
      <c r="F18" s="88" t="s">
        <v>17</v>
      </c>
      <c r="G18" s="88">
        <v>0.06</v>
      </c>
      <c r="H18" s="88" t="s">
        <v>365</v>
      </c>
      <c r="I18" s="88">
        <v>2</v>
      </c>
      <c r="J18" s="88">
        <v>20</v>
      </c>
      <c r="K18" s="88" t="s">
        <v>375</v>
      </c>
      <c r="L18" s="83" t="s">
        <v>376</v>
      </c>
      <c r="M18" s="88">
        <v>3</v>
      </c>
      <c r="N18" s="88">
        <v>50</v>
      </c>
      <c r="O18" s="88" t="s">
        <v>377</v>
      </c>
      <c r="P18" s="83" t="s">
        <v>378</v>
      </c>
      <c r="Q18" s="88">
        <v>4</v>
      </c>
      <c r="R18" s="88">
        <v>70</v>
      </c>
      <c r="S18" s="88" t="s">
        <v>379</v>
      </c>
      <c r="T18" s="83" t="s">
        <v>380</v>
      </c>
      <c r="U18" s="88" t="s">
        <v>279</v>
      </c>
      <c r="V18" s="88">
        <v>90</v>
      </c>
      <c r="W18" s="89" t="s">
        <v>381</v>
      </c>
      <c r="X18" s="83" t="s">
        <v>382</v>
      </c>
      <c r="Y18" s="90" t="s">
        <v>383</v>
      </c>
      <c r="Z18" s="87" t="s">
        <v>384</v>
      </c>
    </row>
    <row r="19" ht="55" customHeight="1" spans="1:26">
      <c r="A19" s="80" t="s">
        <v>271</v>
      </c>
      <c r="B19" s="80" t="s">
        <v>272</v>
      </c>
      <c r="C19" s="80" t="s">
        <v>193</v>
      </c>
      <c r="D19" s="80" t="s">
        <v>194</v>
      </c>
      <c r="E19" s="81" t="s">
        <v>64</v>
      </c>
      <c r="F19" s="80" t="s">
        <v>65</v>
      </c>
      <c r="G19" s="80">
        <v>0.015</v>
      </c>
      <c r="H19" s="80" t="s">
        <v>385</v>
      </c>
      <c r="I19" s="80">
        <v>1</v>
      </c>
      <c r="J19" s="80">
        <v>30</v>
      </c>
      <c r="K19" s="80" t="s">
        <v>294</v>
      </c>
      <c r="L19" s="83" t="s">
        <v>386</v>
      </c>
      <c r="M19" s="80">
        <v>2</v>
      </c>
      <c r="N19" s="80">
        <v>50</v>
      </c>
      <c r="O19" s="80" t="s">
        <v>296</v>
      </c>
      <c r="P19" s="83" t="s">
        <v>387</v>
      </c>
      <c r="Q19" s="80">
        <v>4</v>
      </c>
      <c r="R19" s="80">
        <v>70</v>
      </c>
      <c r="S19" s="80" t="s">
        <v>298</v>
      </c>
      <c r="T19" s="83" t="s">
        <v>388</v>
      </c>
      <c r="U19" s="80" t="s">
        <v>389</v>
      </c>
      <c r="V19" s="80">
        <v>90</v>
      </c>
      <c r="W19" s="84" t="s">
        <v>301</v>
      </c>
      <c r="X19" s="83" t="s">
        <v>390</v>
      </c>
      <c r="Y19" s="86"/>
      <c r="Z19" s="87" t="s">
        <v>391</v>
      </c>
    </row>
    <row r="20" ht="82" customHeight="1" spans="1:26">
      <c r="A20" s="88" t="s">
        <v>271</v>
      </c>
      <c r="B20" s="88" t="s">
        <v>272</v>
      </c>
      <c r="C20" s="88" t="s">
        <v>193</v>
      </c>
      <c r="D20" s="88" t="s">
        <v>194</v>
      </c>
      <c r="E20" s="81" t="s">
        <v>67</v>
      </c>
      <c r="F20" s="88" t="s">
        <v>65</v>
      </c>
      <c r="G20" s="88">
        <v>0.035</v>
      </c>
      <c r="H20" s="88" t="s">
        <v>392</v>
      </c>
      <c r="I20" s="88">
        <v>5</v>
      </c>
      <c r="J20" s="88">
        <v>30</v>
      </c>
      <c r="K20" s="88" t="s">
        <v>294</v>
      </c>
      <c r="L20" s="83" t="s">
        <v>393</v>
      </c>
      <c r="M20" s="88">
        <v>8</v>
      </c>
      <c r="N20" s="88">
        <v>50</v>
      </c>
      <c r="O20" s="88" t="s">
        <v>296</v>
      </c>
      <c r="P20" s="83" t="s">
        <v>394</v>
      </c>
      <c r="Q20" s="88">
        <v>14</v>
      </c>
      <c r="R20" s="88">
        <v>70</v>
      </c>
      <c r="S20" s="88" t="s">
        <v>298</v>
      </c>
      <c r="T20" s="83" t="s">
        <v>395</v>
      </c>
      <c r="U20" s="88" t="s">
        <v>396</v>
      </c>
      <c r="V20" s="88">
        <v>90</v>
      </c>
      <c r="W20" s="89" t="s">
        <v>397</v>
      </c>
      <c r="X20" s="83" t="s">
        <v>398</v>
      </c>
      <c r="Y20" s="90" t="s">
        <v>399</v>
      </c>
      <c r="Z20" s="87" t="s">
        <v>400</v>
      </c>
    </row>
    <row r="21" ht="41" customHeight="1" spans="1:26">
      <c r="A21" s="80" t="s">
        <v>271</v>
      </c>
      <c r="B21" s="80" t="s">
        <v>272</v>
      </c>
      <c r="C21" s="80" t="s">
        <v>193</v>
      </c>
      <c r="D21" s="80" t="s">
        <v>197</v>
      </c>
      <c r="E21" s="81" t="s">
        <v>60</v>
      </c>
      <c r="F21" s="80" t="s">
        <v>401</v>
      </c>
      <c r="G21" s="80">
        <v>0.03</v>
      </c>
      <c r="H21" s="80" t="s">
        <v>402</v>
      </c>
      <c r="I21" s="80">
        <v>0.61</v>
      </c>
      <c r="J21" s="80">
        <v>30</v>
      </c>
      <c r="K21" s="80" t="s">
        <v>294</v>
      </c>
      <c r="L21" s="83" t="s">
        <v>403</v>
      </c>
      <c r="M21" s="80">
        <v>0.94</v>
      </c>
      <c r="N21" s="80">
        <v>50</v>
      </c>
      <c r="O21" s="80" t="s">
        <v>296</v>
      </c>
      <c r="P21" s="83" t="s">
        <v>404</v>
      </c>
      <c r="Q21" s="80">
        <v>1.25</v>
      </c>
      <c r="R21" s="80">
        <v>70</v>
      </c>
      <c r="S21" s="80" t="s">
        <v>298</v>
      </c>
      <c r="T21" s="83" t="s">
        <v>405</v>
      </c>
      <c r="U21" s="80" t="s">
        <v>406</v>
      </c>
      <c r="V21" s="80">
        <v>90</v>
      </c>
      <c r="W21" s="84" t="s">
        <v>301</v>
      </c>
      <c r="X21" s="83" t="s">
        <v>407</v>
      </c>
      <c r="Y21" s="86"/>
      <c r="Z21" s="87" t="s">
        <v>408</v>
      </c>
    </row>
    <row r="22" ht="68" customHeight="1" spans="1:26">
      <c r="A22" s="88" t="s">
        <v>271</v>
      </c>
      <c r="B22" s="88" t="s">
        <v>272</v>
      </c>
      <c r="C22" s="88" t="s">
        <v>193</v>
      </c>
      <c r="D22" s="88" t="s">
        <v>70</v>
      </c>
      <c r="E22" s="81" t="s">
        <v>70</v>
      </c>
      <c r="F22" s="88" t="s">
        <v>409</v>
      </c>
      <c r="G22" s="88">
        <v>0.02</v>
      </c>
      <c r="H22" s="88" t="s">
        <v>410</v>
      </c>
      <c r="I22" s="88" t="s">
        <v>411</v>
      </c>
      <c r="J22" s="88">
        <v>0</v>
      </c>
      <c r="K22" s="88" t="s">
        <v>412</v>
      </c>
      <c r="L22" s="83" t="s">
        <v>413</v>
      </c>
      <c r="M22" s="88" t="s">
        <v>206</v>
      </c>
      <c r="N22" s="88">
        <v>30</v>
      </c>
      <c r="O22" s="88" t="s">
        <v>414</v>
      </c>
      <c r="P22" s="83" t="s">
        <v>415</v>
      </c>
      <c r="Q22" s="88" t="s">
        <v>416</v>
      </c>
      <c r="R22" s="88">
        <v>70</v>
      </c>
      <c r="S22" s="88" t="s">
        <v>417</v>
      </c>
      <c r="T22" s="83" t="s">
        <v>418</v>
      </c>
      <c r="U22" s="88" t="s">
        <v>201</v>
      </c>
      <c r="V22" s="88">
        <v>90</v>
      </c>
      <c r="W22" s="89" t="s">
        <v>419</v>
      </c>
      <c r="X22" s="83" t="s">
        <v>420</v>
      </c>
      <c r="Y22" s="90" t="s">
        <v>421</v>
      </c>
      <c r="Z22" s="87" t="s">
        <v>422</v>
      </c>
    </row>
    <row r="23" ht="41" customHeight="1" spans="1:26">
      <c r="A23" s="80" t="s">
        <v>271</v>
      </c>
      <c r="B23" s="80" t="s">
        <v>272</v>
      </c>
      <c r="C23" s="80" t="s">
        <v>203</v>
      </c>
      <c r="D23" s="80" t="s">
        <v>279</v>
      </c>
      <c r="E23" s="81" t="s">
        <v>75</v>
      </c>
      <c r="F23" s="80" t="s">
        <v>423</v>
      </c>
      <c r="G23" s="80">
        <v>0.015</v>
      </c>
      <c r="H23" s="80" t="s">
        <v>424</v>
      </c>
      <c r="I23" s="80" t="s">
        <v>201</v>
      </c>
      <c r="J23" s="80">
        <v>20</v>
      </c>
      <c r="K23" s="80" t="s">
        <v>425</v>
      </c>
      <c r="L23" s="83" t="s">
        <v>426</v>
      </c>
      <c r="M23" s="80" t="s">
        <v>416</v>
      </c>
      <c r="N23" s="80">
        <v>60</v>
      </c>
      <c r="O23" s="80" t="s">
        <v>427</v>
      </c>
      <c r="P23" s="83" t="s">
        <v>428</v>
      </c>
      <c r="Q23" s="80" t="s">
        <v>206</v>
      </c>
      <c r="R23" s="80">
        <v>90</v>
      </c>
      <c r="S23" s="80" t="s">
        <v>429</v>
      </c>
      <c r="T23" s="83" t="s">
        <v>430</v>
      </c>
      <c r="U23" s="80" t="s">
        <v>279</v>
      </c>
      <c r="V23" s="80"/>
      <c r="W23" s="84"/>
      <c r="X23" s="85" t="s">
        <v>431</v>
      </c>
      <c r="Y23" s="86"/>
      <c r="Z23" s="87" t="s">
        <v>432</v>
      </c>
    </row>
    <row r="24" ht="41" customHeight="1" spans="1:26">
      <c r="A24" s="88" t="s">
        <v>271</v>
      </c>
      <c r="B24" s="88" t="s">
        <v>272</v>
      </c>
      <c r="C24" s="88" t="s">
        <v>203</v>
      </c>
      <c r="D24" s="88" t="s">
        <v>279</v>
      </c>
      <c r="E24" s="81" t="s">
        <v>78</v>
      </c>
      <c r="F24" s="88" t="s">
        <v>423</v>
      </c>
      <c r="G24" s="88">
        <v>0.02</v>
      </c>
      <c r="H24" s="88" t="s">
        <v>410</v>
      </c>
      <c r="I24" s="88" t="s">
        <v>201</v>
      </c>
      <c r="J24" s="88">
        <v>20</v>
      </c>
      <c r="K24" s="88" t="s">
        <v>433</v>
      </c>
      <c r="L24" s="83" t="s">
        <v>434</v>
      </c>
      <c r="M24" s="88" t="s">
        <v>416</v>
      </c>
      <c r="N24" s="88">
        <v>60</v>
      </c>
      <c r="O24" s="88" t="s">
        <v>435</v>
      </c>
      <c r="P24" s="83" t="s">
        <v>436</v>
      </c>
      <c r="Q24" s="88" t="s">
        <v>206</v>
      </c>
      <c r="R24" s="88">
        <v>90</v>
      </c>
      <c r="S24" s="88" t="s">
        <v>437</v>
      </c>
      <c r="T24" s="83" t="s">
        <v>438</v>
      </c>
      <c r="U24" s="88" t="s">
        <v>279</v>
      </c>
      <c r="V24" s="88"/>
      <c r="W24" s="89"/>
      <c r="X24" s="83" t="s">
        <v>439</v>
      </c>
      <c r="Y24" s="90"/>
      <c r="Z24" s="87" t="s">
        <v>440</v>
      </c>
    </row>
    <row r="25" ht="41" customHeight="1" spans="1:26">
      <c r="A25" s="80" t="s">
        <v>271</v>
      </c>
      <c r="B25" s="80" t="s">
        <v>272</v>
      </c>
      <c r="C25" s="80" t="s">
        <v>203</v>
      </c>
      <c r="D25" s="80" t="s">
        <v>279</v>
      </c>
      <c r="E25" s="81" t="s">
        <v>80</v>
      </c>
      <c r="F25" s="80" t="s">
        <v>423</v>
      </c>
      <c r="G25" s="80">
        <v>0.015</v>
      </c>
      <c r="H25" s="80" t="s">
        <v>424</v>
      </c>
      <c r="I25" s="80" t="s">
        <v>201</v>
      </c>
      <c r="J25" s="80">
        <v>20</v>
      </c>
      <c r="K25" s="80" t="s">
        <v>441</v>
      </c>
      <c r="L25" s="83" t="s">
        <v>442</v>
      </c>
      <c r="M25" s="80" t="s">
        <v>416</v>
      </c>
      <c r="N25" s="80">
        <v>60</v>
      </c>
      <c r="O25" s="80" t="s">
        <v>443</v>
      </c>
      <c r="P25" s="83" t="s">
        <v>444</v>
      </c>
      <c r="Q25" s="80" t="s">
        <v>206</v>
      </c>
      <c r="R25" s="80">
        <v>90</v>
      </c>
      <c r="S25" s="80" t="s">
        <v>445</v>
      </c>
      <c r="T25" s="83" t="s">
        <v>446</v>
      </c>
      <c r="U25" s="80" t="s">
        <v>279</v>
      </c>
      <c r="V25" s="80"/>
      <c r="W25" s="84"/>
      <c r="X25" s="83" t="s">
        <v>447</v>
      </c>
      <c r="Y25" s="86"/>
      <c r="Z25" s="87" t="s">
        <v>448</v>
      </c>
    </row>
    <row r="26" ht="41" customHeight="1" spans="1:26">
      <c r="A26" s="88" t="s">
        <v>271</v>
      </c>
      <c r="B26" s="88" t="s">
        <v>159</v>
      </c>
      <c r="C26" s="88" t="s">
        <v>172</v>
      </c>
      <c r="D26" s="88" t="s">
        <v>173</v>
      </c>
      <c r="E26" s="81" t="s">
        <v>8</v>
      </c>
      <c r="F26" s="88" t="s">
        <v>9</v>
      </c>
      <c r="G26" s="88">
        <v>0.1</v>
      </c>
      <c r="H26" s="88">
        <v>1</v>
      </c>
      <c r="I26" s="88">
        <v>0.849999999999999</v>
      </c>
      <c r="J26" s="88">
        <v>0.1</v>
      </c>
      <c r="K26" s="88" t="s">
        <v>273</v>
      </c>
      <c r="L26" s="83" t="s">
        <v>274</v>
      </c>
      <c r="M26" s="88">
        <v>0.899999999999999</v>
      </c>
      <c r="N26" s="88">
        <v>0.11</v>
      </c>
      <c r="O26" s="88" t="s">
        <v>275</v>
      </c>
      <c r="P26" s="83" t="s">
        <v>276</v>
      </c>
      <c r="Q26" s="88">
        <v>0.99999999999999</v>
      </c>
      <c r="R26" s="88">
        <v>0.12</v>
      </c>
      <c r="S26" s="88" t="s">
        <v>277</v>
      </c>
      <c r="T26" s="83" t="s">
        <v>278</v>
      </c>
      <c r="U26" s="88" t="s">
        <v>279</v>
      </c>
      <c r="V26" s="88">
        <v>0.144</v>
      </c>
      <c r="W26" s="88" t="s">
        <v>280</v>
      </c>
      <c r="X26" s="85" t="s">
        <v>281</v>
      </c>
      <c r="Y26" s="88" t="s">
        <v>282</v>
      </c>
      <c r="Z26" s="87" t="s">
        <v>449</v>
      </c>
    </row>
    <row r="27" ht="41" customHeight="1" spans="1:26">
      <c r="A27" s="80" t="s">
        <v>271</v>
      </c>
      <c r="B27" s="80" t="s">
        <v>159</v>
      </c>
      <c r="C27" s="80" t="s">
        <v>172</v>
      </c>
      <c r="D27" s="80" t="s">
        <v>173</v>
      </c>
      <c r="E27" s="81" t="s">
        <v>12</v>
      </c>
      <c r="F27" s="80" t="s">
        <v>9</v>
      </c>
      <c r="G27" s="80">
        <v>0.1</v>
      </c>
      <c r="H27" s="80">
        <v>0.259</v>
      </c>
      <c r="I27" s="80">
        <v>-1e-17</v>
      </c>
      <c r="J27" s="80">
        <v>0</v>
      </c>
      <c r="K27" s="80" t="s">
        <v>284</v>
      </c>
      <c r="L27" s="83" t="s">
        <v>285</v>
      </c>
      <c r="M27" s="80">
        <v>0.0906</v>
      </c>
      <c r="N27" s="80">
        <v>0.04</v>
      </c>
      <c r="O27" s="80" t="s">
        <v>286</v>
      </c>
      <c r="P27" s="83" t="s">
        <v>287</v>
      </c>
      <c r="Q27" s="80">
        <v>0.2592</v>
      </c>
      <c r="R27" s="80">
        <v>0.07</v>
      </c>
      <c r="S27" s="80" t="s">
        <v>288</v>
      </c>
      <c r="T27" s="83" t="s">
        <v>289</v>
      </c>
      <c r="U27" s="80" t="s">
        <v>279</v>
      </c>
      <c r="V27" s="80">
        <v>0.1</v>
      </c>
      <c r="W27" s="80" t="s">
        <v>290</v>
      </c>
      <c r="X27" s="83" t="s">
        <v>291</v>
      </c>
      <c r="Y27" s="80"/>
      <c r="Z27" s="87" t="s">
        <v>450</v>
      </c>
    </row>
    <row r="28" ht="41" customHeight="1" spans="1:26">
      <c r="A28" s="88" t="s">
        <v>271</v>
      </c>
      <c r="B28" s="88" t="s">
        <v>159</v>
      </c>
      <c r="C28" s="88" t="s">
        <v>172</v>
      </c>
      <c r="D28" s="88" t="s">
        <v>15</v>
      </c>
      <c r="E28" s="81" t="s">
        <v>16</v>
      </c>
      <c r="F28" s="88" t="s">
        <v>17</v>
      </c>
      <c r="G28" s="88">
        <v>0.0405</v>
      </c>
      <c r="H28" s="88" t="s">
        <v>451</v>
      </c>
      <c r="I28" s="88">
        <v>27</v>
      </c>
      <c r="J28" s="88">
        <v>30</v>
      </c>
      <c r="K28" s="88" t="s">
        <v>294</v>
      </c>
      <c r="L28" s="83" t="s">
        <v>295</v>
      </c>
      <c r="M28" s="88">
        <v>212</v>
      </c>
      <c r="N28" s="88">
        <v>50</v>
      </c>
      <c r="O28" s="88" t="s">
        <v>296</v>
      </c>
      <c r="P28" s="83" t="s">
        <v>297</v>
      </c>
      <c r="Q28" s="88">
        <v>368</v>
      </c>
      <c r="R28" s="88">
        <v>70</v>
      </c>
      <c r="S28" s="88" t="s">
        <v>298</v>
      </c>
      <c r="T28" s="83" t="s">
        <v>299</v>
      </c>
      <c r="U28" s="88" t="s">
        <v>452</v>
      </c>
      <c r="V28" s="88">
        <v>90</v>
      </c>
      <c r="W28" s="88" t="s">
        <v>301</v>
      </c>
      <c r="X28" s="83" t="s">
        <v>302</v>
      </c>
      <c r="Y28" s="88"/>
      <c r="Z28" s="87" t="s">
        <v>453</v>
      </c>
    </row>
    <row r="29" ht="68" customHeight="1" spans="1:26">
      <c r="A29" s="80" t="s">
        <v>271</v>
      </c>
      <c r="B29" s="80" t="s">
        <v>159</v>
      </c>
      <c r="C29" s="80" t="s">
        <v>172</v>
      </c>
      <c r="D29" s="80" t="s">
        <v>15</v>
      </c>
      <c r="E29" s="81" t="s">
        <v>229</v>
      </c>
      <c r="F29" s="80" t="s">
        <v>9</v>
      </c>
      <c r="G29" s="80">
        <v>0.045</v>
      </c>
      <c r="H29" s="91">
        <v>0.187</v>
      </c>
      <c r="I29" s="80">
        <v>0.072</v>
      </c>
      <c r="J29" s="80">
        <v>30</v>
      </c>
      <c r="K29" s="80" t="s">
        <v>294</v>
      </c>
      <c r="L29" s="83" t="s">
        <v>304</v>
      </c>
      <c r="M29" s="80">
        <v>0.108</v>
      </c>
      <c r="N29" s="80">
        <v>50</v>
      </c>
      <c r="O29" s="80" t="s">
        <v>296</v>
      </c>
      <c r="P29" s="83" t="s">
        <v>305</v>
      </c>
      <c r="Q29" s="80">
        <v>0.187</v>
      </c>
      <c r="R29" s="80">
        <v>70</v>
      </c>
      <c r="S29" s="80" t="s">
        <v>298</v>
      </c>
      <c r="T29" s="83" t="s">
        <v>306</v>
      </c>
      <c r="U29" s="80" t="s">
        <v>454</v>
      </c>
      <c r="V29" s="80">
        <v>90</v>
      </c>
      <c r="W29" s="80" t="s">
        <v>301</v>
      </c>
      <c r="X29" s="83" t="s">
        <v>308</v>
      </c>
      <c r="Y29" s="80"/>
      <c r="Z29" s="87" t="s">
        <v>455</v>
      </c>
    </row>
    <row r="30" ht="41" customHeight="1" spans="1:26">
      <c r="A30" s="88" t="s">
        <v>271</v>
      </c>
      <c r="B30" s="88" t="s">
        <v>159</v>
      </c>
      <c r="C30" s="88" t="s">
        <v>172</v>
      </c>
      <c r="D30" s="88" t="s">
        <v>15</v>
      </c>
      <c r="E30" s="81" t="s">
        <v>27</v>
      </c>
      <c r="F30" s="88" t="s">
        <v>9</v>
      </c>
      <c r="G30" s="88">
        <v>0.09</v>
      </c>
      <c r="H30" s="88">
        <v>0.942</v>
      </c>
      <c r="I30" s="88">
        <v>0.889</v>
      </c>
      <c r="J30" s="88">
        <v>30</v>
      </c>
      <c r="K30" s="88" t="s">
        <v>294</v>
      </c>
      <c r="L30" s="83" t="s">
        <v>310</v>
      </c>
      <c r="M30" s="88">
        <v>0.915</v>
      </c>
      <c r="N30" s="88">
        <v>50</v>
      </c>
      <c r="O30" s="88" t="s">
        <v>296</v>
      </c>
      <c r="P30" s="83" t="s">
        <v>311</v>
      </c>
      <c r="Q30" s="88">
        <v>0.942</v>
      </c>
      <c r="R30" s="88">
        <v>70</v>
      </c>
      <c r="S30" s="88" t="s">
        <v>298</v>
      </c>
      <c r="T30" s="83" t="s">
        <v>312</v>
      </c>
      <c r="U30" s="88" t="s">
        <v>456</v>
      </c>
      <c r="V30" s="88">
        <v>90</v>
      </c>
      <c r="W30" s="88" t="s">
        <v>301</v>
      </c>
      <c r="X30" s="83" t="s">
        <v>314</v>
      </c>
      <c r="Y30" s="88"/>
      <c r="Z30" s="87" t="s">
        <v>457</v>
      </c>
    </row>
    <row r="31" ht="41" customHeight="1" spans="1:26">
      <c r="A31" s="80" t="s">
        <v>271</v>
      </c>
      <c r="B31" s="80" t="s">
        <v>159</v>
      </c>
      <c r="C31" s="80" t="s">
        <v>172</v>
      </c>
      <c r="D31" s="80" t="s">
        <v>15</v>
      </c>
      <c r="E31" s="81" t="s">
        <v>30</v>
      </c>
      <c r="F31" s="80" t="s">
        <v>17</v>
      </c>
      <c r="G31" s="80">
        <v>0.045</v>
      </c>
      <c r="H31" s="80" t="s">
        <v>458</v>
      </c>
      <c r="I31" s="80">
        <v>46</v>
      </c>
      <c r="J31" s="80">
        <v>30</v>
      </c>
      <c r="K31" s="80" t="s">
        <v>294</v>
      </c>
      <c r="L31" s="83" t="s">
        <v>317</v>
      </c>
      <c r="M31" s="80">
        <v>62</v>
      </c>
      <c r="N31" s="80">
        <v>50</v>
      </c>
      <c r="O31" s="80" t="s">
        <v>296</v>
      </c>
      <c r="P31" s="83" t="s">
        <v>318</v>
      </c>
      <c r="Q31" s="80">
        <v>85</v>
      </c>
      <c r="R31" s="80">
        <v>70</v>
      </c>
      <c r="S31" s="80" t="s">
        <v>298</v>
      </c>
      <c r="T31" s="83" t="s">
        <v>319</v>
      </c>
      <c r="U31" s="80" t="s">
        <v>459</v>
      </c>
      <c r="V31" s="80">
        <v>90</v>
      </c>
      <c r="W31" s="80" t="s">
        <v>301</v>
      </c>
      <c r="X31" s="83" t="s">
        <v>321</v>
      </c>
      <c r="Y31" s="80"/>
      <c r="Z31" s="87" t="s">
        <v>460</v>
      </c>
    </row>
    <row r="32" ht="55" customHeight="1" spans="1:26">
      <c r="A32" s="88" t="s">
        <v>271</v>
      </c>
      <c r="B32" s="88" t="s">
        <v>159</v>
      </c>
      <c r="C32" s="88" t="s">
        <v>172</v>
      </c>
      <c r="D32" s="88" t="s">
        <v>15</v>
      </c>
      <c r="E32" s="81" t="s">
        <v>34</v>
      </c>
      <c r="F32" s="88" t="s">
        <v>17</v>
      </c>
      <c r="G32" s="88">
        <v>0.0225</v>
      </c>
      <c r="H32" s="88" t="s">
        <v>461</v>
      </c>
      <c r="I32" s="88">
        <v>1</v>
      </c>
      <c r="J32" s="88">
        <v>30</v>
      </c>
      <c r="K32" s="88" t="s">
        <v>294</v>
      </c>
      <c r="L32" s="83" t="s">
        <v>324</v>
      </c>
      <c r="M32" s="88">
        <v>2</v>
      </c>
      <c r="N32" s="88">
        <v>50</v>
      </c>
      <c r="O32" s="88" t="s">
        <v>296</v>
      </c>
      <c r="P32" s="83" t="s">
        <v>325</v>
      </c>
      <c r="Q32" s="88">
        <v>3</v>
      </c>
      <c r="R32" s="88">
        <v>70</v>
      </c>
      <c r="S32" s="88" t="s">
        <v>298</v>
      </c>
      <c r="T32" s="83" t="s">
        <v>326</v>
      </c>
      <c r="U32" s="88" t="s">
        <v>327</v>
      </c>
      <c r="V32" s="88">
        <v>90</v>
      </c>
      <c r="W32" s="88" t="s">
        <v>301</v>
      </c>
      <c r="X32" s="83" t="s">
        <v>328</v>
      </c>
      <c r="Y32" s="88"/>
      <c r="Z32" s="87" t="s">
        <v>462</v>
      </c>
    </row>
    <row r="33" ht="41" customHeight="1" spans="1:26">
      <c r="A33" s="80" t="s">
        <v>271</v>
      </c>
      <c r="B33" s="80" t="s">
        <v>159</v>
      </c>
      <c r="C33" s="80" t="s">
        <v>172</v>
      </c>
      <c r="D33" s="80" t="s">
        <v>15</v>
      </c>
      <c r="E33" s="81" t="s">
        <v>38</v>
      </c>
      <c r="F33" s="80" t="s">
        <v>39</v>
      </c>
      <c r="G33" s="80">
        <v>0.09</v>
      </c>
      <c r="H33" s="80" t="s">
        <v>463</v>
      </c>
      <c r="I33" s="80">
        <v>425</v>
      </c>
      <c r="J33" s="80">
        <v>30</v>
      </c>
      <c r="K33" s="80" t="s">
        <v>294</v>
      </c>
      <c r="L33" s="83" t="s">
        <v>331</v>
      </c>
      <c r="M33" s="80">
        <v>592</v>
      </c>
      <c r="N33" s="80">
        <v>50</v>
      </c>
      <c r="O33" s="80" t="s">
        <v>296</v>
      </c>
      <c r="P33" s="83" t="s">
        <v>332</v>
      </c>
      <c r="Q33" s="80">
        <v>875</v>
      </c>
      <c r="R33" s="80">
        <v>70</v>
      </c>
      <c r="S33" s="80" t="s">
        <v>298</v>
      </c>
      <c r="T33" s="83" t="s">
        <v>333</v>
      </c>
      <c r="U33" s="80" t="s">
        <v>464</v>
      </c>
      <c r="V33" s="80">
        <v>90</v>
      </c>
      <c r="W33" s="80" t="s">
        <v>301</v>
      </c>
      <c r="X33" s="83" t="s">
        <v>335</v>
      </c>
      <c r="Y33" s="80"/>
      <c r="Z33" s="87" t="s">
        <v>465</v>
      </c>
    </row>
    <row r="34" ht="55" customHeight="1" spans="1:26">
      <c r="A34" s="88" t="s">
        <v>271</v>
      </c>
      <c r="B34" s="88" t="s">
        <v>159</v>
      </c>
      <c r="C34" s="88" t="s">
        <v>172</v>
      </c>
      <c r="D34" s="88" t="s">
        <v>15</v>
      </c>
      <c r="E34" s="81" t="s">
        <v>42</v>
      </c>
      <c r="F34" s="88" t="s">
        <v>9</v>
      </c>
      <c r="G34" s="88">
        <v>0.0045</v>
      </c>
      <c r="H34" s="88">
        <v>1</v>
      </c>
      <c r="I34" s="88">
        <v>0.785</v>
      </c>
      <c r="J34" s="88">
        <v>30</v>
      </c>
      <c r="K34" s="88" t="s">
        <v>294</v>
      </c>
      <c r="L34" s="83" t="s">
        <v>337</v>
      </c>
      <c r="M34" s="88">
        <v>0.8925</v>
      </c>
      <c r="N34" s="88">
        <v>50</v>
      </c>
      <c r="O34" s="88" t="s">
        <v>296</v>
      </c>
      <c r="P34" s="83" t="s">
        <v>338</v>
      </c>
      <c r="Q34" s="88">
        <v>1</v>
      </c>
      <c r="R34" s="88">
        <v>70</v>
      </c>
      <c r="S34" s="88" t="s">
        <v>339</v>
      </c>
      <c r="T34" s="83" t="s">
        <v>340</v>
      </c>
      <c r="U34" s="88" t="s">
        <v>279</v>
      </c>
      <c r="V34" s="88"/>
      <c r="W34" s="88"/>
      <c r="X34" s="83" t="s">
        <v>340</v>
      </c>
      <c r="Y34" s="88" t="s">
        <v>341</v>
      </c>
      <c r="Z34" s="87" t="s">
        <v>466</v>
      </c>
    </row>
    <row r="35" ht="55" customHeight="1" spans="1:26">
      <c r="A35" s="80" t="s">
        <v>271</v>
      </c>
      <c r="B35" s="80" t="s">
        <v>159</v>
      </c>
      <c r="C35" s="80" t="s">
        <v>172</v>
      </c>
      <c r="D35" s="80" t="s">
        <v>15</v>
      </c>
      <c r="E35" s="81" t="s">
        <v>23</v>
      </c>
      <c r="F35" s="80" t="s">
        <v>24</v>
      </c>
      <c r="G35" s="80">
        <v>0.1115</v>
      </c>
      <c r="H35" s="80" t="s">
        <v>467</v>
      </c>
      <c r="I35" s="80">
        <v>3.6</v>
      </c>
      <c r="J35" s="80">
        <v>30</v>
      </c>
      <c r="K35" s="80" t="s">
        <v>294</v>
      </c>
      <c r="L35" s="83" t="s">
        <v>344</v>
      </c>
      <c r="M35" s="80">
        <v>4.4</v>
      </c>
      <c r="N35" s="80">
        <v>50</v>
      </c>
      <c r="O35" s="80" t="s">
        <v>296</v>
      </c>
      <c r="P35" s="83" t="s">
        <v>345</v>
      </c>
      <c r="Q35" s="80">
        <v>8.6</v>
      </c>
      <c r="R35" s="80">
        <v>70</v>
      </c>
      <c r="S35" s="80" t="s">
        <v>298</v>
      </c>
      <c r="T35" s="83" t="s">
        <v>346</v>
      </c>
      <c r="U35" s="80" t="s">
        <v>468</v>
      </c>
      <c r="V35" s="80">
        <v>90</v>
      </c>
      <c r="W35" s="80" t="s">
        <v>301</v>
      </c>
      <c r="X35" s="83" t="s">
        <v>348</v>
      </c>
      <c r="Y35" s="80"/>
      <c r="Z35" s="87" t="s">
        <v>469</v>
      </c>
    </row>
    <row r="36" ht="55" customHeight="1" spans="1:26">
      <c r="A36" s="88" t="s">
        <v>271</v>
      </c>
      <c r="B36" s="88" t="s">
        <v>159</v>
      </c>
      <c r="C36" s="88" t="s">
        <v>172</v>
      </c>
      <c r="D36" s="88" t="s">
        <v>44</v>
      </c>
      <c r="E36" s="81" t="s">
        <v>45</v>
      </c>
      <c r="F36" s="88" t="s">
        <v>35</v>
      </c>
      <c r="G36" s="88">
        <v>0.025</v>
      </c>
      <c r="H36" s="88" t="s">
        <v>470</v>
      </c>
      <c r="I36" s="88">
        <v>29</v>
      </c>
      <c r="J36" s="88">
        <v>30</v>
      </c>
      <c r="K36" s="88" t="s">
        <v>294</v>
      </c>
      <c r="L36" s="83" t="s">
        <v>352</v>
      </c>
      <c r="M36" s="88">
        <v>51</v>
      </c>
      <c r="N36" s="88">
        <v>50</v>
      </c>
      <c r="O36" s="88" t="s">
        <v>296</v>
      </c>
      <c r="P36" s="83" t="s">
        <v>353</v>
      </c>
      <c r="Q36" s="88">
        <v>76</v>
      </c>
      <c r="R36" s="88">
        <v>70</v>
      </c>
      <c r="S36" s="88" t="s">
        <v>298</v>
      </c>
      <c r="T36" s="83" t="s">
        <v>354</v>
      </c>
      <c r="U36" s="88" t="s">
        <v>471</v>
      </c>
      <c r="V36" s="88">
        <v>90</v>
      </c>
      <c r="W36" s="88" t="s">
        <v>301</v>
      </c>
      <c r="X36" s="83" t="s">
        <v>356</v>
      </c>
      <c r="Y36" s="88"/>
      <c r="Z36" s="87" t="s">
        <v>472</v>
      </c>
    </row>
    <row r="37" ht="55" customHeight="1" spans="1:26">
      <c r="A37" s="80" t="s">
        <v>271</v>
      </c>
      <c r="B37" s="80" t="s">
        <v>159</v>
      </c>
      <c r="C37" s="80" t="s">
        <v>172</v>
      </c>
      <c r="D37" s="80" t="s">
        <v>44</v>
      </c>
      <c r="E37" s="81" t="s">
        <v>48</v>
      </c>
      <c r="F37" s="80" t="s">
        <v>39</v>
      </c>
      <c r="G37" s="80">
        <v>0.025</v>
      </c>
      <c r="H37" s="80" t="s">
        <v>473</v>
      </c>
      <c r="I37" s="80">
        <v>0.249</v>
      </c>
      <c r="J37" s="80">
        <v>30</v>
      </c>
      <c r="K37" s="80" t="s">
        <v>294</v>
      </c>
      <c r="L37" s="83" t="s">
        <v>359</v>
      </c>
      <c r="M37" s="80">
        <v>0.343</v>
      </c>
      <c r="N37" s="80">
        <v>50</v>
      </c>
      <c r="O37" s="80" t="s">
        <v>296</v>
      </c>
      <c r="P37" s="83" t="s">
        <v>360</v>
      </c>
      <c r="Q37" s="80">
        <v>0.451</v>
      </c>
      <c r="R37" s="80">
        <v>70</v>
      </c>
      <c r="S37" s="80" t="s">
        <v>298</v>
      </c>
      <c r="T37" s="83" t="s">
        <v>361</v>
      </c>
      <c r="U37" s="80" t="s">
        <v>474</v>
      </c>
      <c r="V37" s="80">
        <v>90</v>
      </c>
      <c r="W37" s="80" t="s">
        <v>301</v>
      </c>
      <c r="X37" s="83" t="s">
        <v>363</v>
      </c>
      <c r="Y37" s="80"/>
      <c r="Z37" s="87" t="s">
        <v>475</v>
      </c>
    </row>
    <row r="38" ht="82" customHeight="1" spans="1:26">
      <c r="A38" s="88" t="s">
        <v>271</v>
      </c>
      <c r="B38" s="88" t="s">
        <v>159</v>
      </c>
      <c r="C38" s="88" t="s">
        <v>172</v>
      </c>
      <c r="D38" s="88" t="s">
        <v>52</v>
      </c>
      <c r="E38" s="81" t="s">
        <v>190</v>
      </c>
      <c r="F38" s="88" t="s">
        <v>17</v>
      </c>
      <c r="G38" s="88">
        <v>0.06</v>
      </c>
      <c r="H38" s="88" t="s">
        <v>365</v>
      </c>
      <c r="I38" s="88">
        <v>2</v>
      </c>
      <c r="J38" s="88">
        <v>20</v>
      </c>
      <c r="K38" s="88" t="s">
        <v>366</v>
      </c>
      <c r="L38" s="83" t="s">
        <v>367</v>
      </c>
      <c r="M38" s="88">
        <v>3</v>
      </c>
      <c r="N38" s="88">
        <v>70</v>
      </c>
      <c r="O38" s="88" t="s">
        <v>298</v>
      </c>
      <c r="P38" s="83" t="s">
        <v>368</v>
      </c>
      <c r="Q38" s="88">
        <v>4</v>
      </c>
      <c r="R38" s="88">
        <v>90</v>
      </c>
      <c r="S38" s="88" t="s">
        <v>369</v>
      </c>
      <c r="T38" s="83" t="s">
        <v>370</v>
      </c>
      <c r="U38" s="88" t="s">
        <v>371</v>
      </c>
      <c r="V38" s="88">
        <v>90</v>
      </c>
      <c r="W38" s="88" t="s">
        <v>369</v>
      </c>
      <c r="X38" s="83" t="s">
        <v>372</v>
      </c>
      <c r="Y38" s="88" t="s">
        <v>373</v>
      </c>
      <c r="Z38" s="87" t="s">
        <v>476</v>
      </c>
    </row>
    <row r="39" ht="41" customHeight="1" spans="1:26">
      <c r="A39" s="80" t="s">
        <v>271</v>
      </c>
      <c r="B39" s="80" t="s">
        <v>159</v>
      </c>
      <c r="C39" s="80" t="s">
        <v>172</v>
      </c>
      <c r="D39" s="80" t="s">
        <v>56</v>
      </c>
      <c r="E39" s="81" t="s">
        <v>192</v>
      </c>
      <c r="F39" s="80" t="s">
        <v>17</v>
      </c>
      <c r="G39" s="80">
        <v>0.06</v>
      </c>
      <c r="H39" s="80" t="s">
        <v>365</v>
      </c>
      <c r="I39" s="80">
        <v>2</v>
      </c>
      <c r="J39" s="80">
        <v>20</v>
      </c>
      <c r="K39" s="80" t="s">
        <v>375</v>
      </c>
      <c r="L39" s="83" t="s">
        <v>376</v>
      </c>
      <c r="M39" s="80">
        <v>3</v>
      </c>
      <c r="N39" s="80">
        <v>50</v>
      </c>
      <c r="O39" s="80" t="s">
        <v>377</v>
      </c>
      <c r="P39" s="83" t="s">
        <v>378</v>
      </c>
      <c r="Q39" s="80">
        <v>4</v>
      </c>
      <c r="R39" s="80">
        <v>70</v>
      </c>
      <c r="S39" s="80" t="s">
        <v>379</v>
      </c>
      <c r="T39" s="83" t="s">
        <v>380</v>
      </c>
      <c r="U39" s="80" t="s">
        <v>279</v>
      </c>
      <c r="V39" s="80">
        <v>90</v>
      </c>
      <c r="W39" s="80" t="s">
        <v>381</v>
      </c>
      <c r="X39" s="83" t="s">
        <v>382</v>
      </c>
      <c r="Y39" s="80" t="s">
        <v>383</v>
      </c>
      <c r="Z39" s="87" t="s">
        <v>477</v>
      </c>
    </row>
    <row r="40" ht="55" customHeight="1" spans="1:26">
      <c r="A40" s="88" t="s">
        <v>271</v>
      </c>
      <c r="B40" s="88" t="s">
        <v>159</v>
      </c>
      <c r="C40" s="88" t="s">
        <v>193</v>
      </c>
      <c r="D40" s="88" t="s">
        <v>194</v>
      </c>
      <c r="E40" s="81" t="s">
        <v>64</v>
      </c>
      <c r="F40" s="88" t="s">
        <v>65</v>
      </c>
      <c r="G40" s="88">
        <v>0.03</v>
      </c>
      <c r="H40" s="88" t="s">
        <v>478</v>
      </c>
      <c r="I40" s="88">
        <v>1</v>
      </c>
      <c r="J40" s="88">
        <v>30</v>
      </c>
      <c r="K40" s="88" t="s">
        <v>294</v>
      </c>
      <c r="L40" s="83" t="s">
        <v>386</v>
      </c>
      <c r="M40" s="88">
        <v>3</v>
      </c>
      <c r="N40" s="88">
        <v>50</v>
      </c>
      <c r="O40" s="88" t="s">
        <v>296</v>
      </c>
      <c r="P40" s="83" t="s">
        <v>387</v>
      </c>
      <c r="Q40" s="88">
        <v>7</v>
      </c>
      <c r="R40" s="88">
        <v>70</v>
      </c>
      <c r="S40" s="88" t="s">
        <v>298</v>
      </c>
      <c r="T40" s="83" t="s">
        <v>388</v>
      </c>
      <c r="U40" s="88" t="s">
        <v>479</v>
      </c>
      <c r="V40" s="88">
        <v>90</v>
      </c>
      <c r="W40" s="88" t="s">
        <v>301</v>
      </c>
      <c r="X40" s="83" t="s">
        <v>390</v>
      </c>
      <c r="Y40" s="88"/>
      <c r="Z40" s="87" t="s">
        <v>480</v>
      </c>
    </row>
    <row r="41" ht="82" customHeight="1" spans="1:26">
      <c r="A41" s="80" t="s">
        <v>271</v>
      </c>
      <c r="B41" s="80" t="s">
        <v>159</v>
      </c>
      <c r="C41" s="80" t="s">
        <v>193</v>
      </c>
      <c r="D41" s="80" t="s">
        <v>194</v>
      </c>
      <c r="E41" s="81" t="s">
        <v>67</v>
      </c>
      <c r="F41" s="80" t="s">
        <v>65</v>
      </c>
      <c r="G41" s="80">
        <v>0.029</v>
      </c>
      <c r="H41" s="80" t="s">
        <v>481</v>
      </c>
      <c r="I41" s="80">
        <v>6</v>
      </c>
      <c r="J41" s="80">
        <v>30</v>
      </c>
      <c r="K41" s="80" t="s">
        <v>294</v>
      </c>
      <c r="L41" s="83" t="s">
        <v>393</v>
      </c>
      <c r="M41" s="80">
        <v>15</v>
      </c>
      <c r="N41" s="80">
        <v>50</v>
      </c>
      <c r="O41" s="80" t="s">
        <v>296</v>
      </c>
      <c r="P41" s="83" t="s">
        <v>394</v>
      </c>
      <c r="Q41" s="80">
        <v>24</v>
      </c>
      <c r="R41" s="80">
        <v>70</v>
      </c>
      <c r="S41" s="80" t="s">
        <v>298</v>
      </c>
      <c r="T41" s="83" t="s">
        <v>395</v>
      </c>
      <c r="U41" s="80" t="s">
        <v>482</v>
      </c>
      <c r="V41" s="80">
        <v>90</v>
      </c>
      <c r="W41" s="80" t="s">
        <v>397</v>
      </c>
      <c r="X41" s="83" t="s">
        <v>398</v>
      </c>
      <c r="Y41" s="80" t="s">
        <v>399</v>
      </c>
      <c r="Z41" s="87" t="s">
        <v>483</v>
      </c>
    </row>
    <row r="42" ht="41" customHeight="1" spans="1:26">
      <c r="A42" s="88" t="s">
        <v>271</v>
      </c>
      <c r="B42" s="88" t="s">
        <v>159</v>
      </c>
      <c r="C42" s="88" t="s">
        <v>193</v>
      </c>
      <c r="D42" s="88" t="s">
        <v>197</v>
      </c>
      <c r="E42" s="81" t="s">
        <v>60</v>
      </c>
      <c r="F42" s="88" t="s">
        <v>401</v>
      </c>
      <c r="G42" s="88">
        <v>0.039</v>
      </c>
      <c r="H42" s="88" t="s">
        <v>484</v>
      </c>
      <c r="I42" s="88">
        <v>1.1</v>
      </c>
      <c r="J42" s="88">
        <v>30</v>
      </c>
      <c r="K42" s="88" t="s">
        <v>294</v>
      </c>
      <c r="L42" s="83" t="s">
        <v>403</v>
      </c>
      <c r="M42" s="88">
        <v>1.42</v>
      </c>
      <c r="N42" s="88">
        <v>50</v>
      </c>
      <c r="O42" s="88" t="s">
        <v>296</v>
      </c>
      <c r="P42" s="83" t="s">
        <v>404</v>
      </c>
      <c r="Q42" s="88">
        <v>2.16</v>
      </c>
      <c r="R42" s="88">
        <v>70</v>
      </c>
      <c r="S42" s="88" t="s">
        <v>298</v>
      </c>
      <c r="T42" s="83" t="s">
        <v>405</v>
      </c>
      <c r="U42" s="88" t="s">
        <v>485</v>
      </c>
      <c r="V42" s="88">
        <v>90</v>
      </c>
      <c r="W42" s="88" t="s">
        <v>301</v>
      </c>
      <c r="X42" s="83" t="s">
        <v>407</v>
      </c>
      <c r="Y42" s="88"/>
      <c r="Z42" s="87" t="s">
        <v>486</v>
      </c>
    </row>
    <row r="43" ht="68" customHeight="1" spans="1:26">
      <c r="A43" s="80" t="s">
        <v>271</v>
      </c>
      <c r="B43" s="80" t="s">
        <v>159</v>
      </c>
      <c r="C43" s="80" t="s">
        <v>193</v>
      </c>
      <c r="D43" s="80" t="s">
        <v>70</v>
      </c>
      <c r="E43" s="81" t="s">
        <v>70</v>
      </c>
      <c r="F43" s="80" t="s">
        <v>409</v>
      </c>
      <c r="G43" s="80">
        <v>0.033</v>
      </c>
      <c r="H43" s="80" t="s">
        <v>487</v>
      </c>
      <c r="I43" s="80" t="s">
        <v>411</v>
      </c>
      <c r="J43" s="80">
        <v>0</v>
      </c>
      <c r="K43" s="80" t="s">
        <v>412</v>
      </c>
      <c r="L43" s="83" t="s">
        <v>413</v>
      </c>
      <c r="M43" s="80" t="s">
        <v>206</v>
      </c>
      <c r="N43" s="80">
        <v>30</v>
      </c>
      <c r="O43" s="80" t="s">
        <v>414</v>
      </c>
      <c r="P43" s="83" t="s">
        <v>415</v>
      </c>
      <c r="Q43" s="80" t="s">
        <v>416</v>
      </c>
      <c r="R43" s="80">
        <v>70</v>
      </c>
      <c r="S43" s="80" t="s">
        <v>417</v>
      </c>
      <c r="T43" s="83" t="s">
        <v>418</v>
      </c>
      <c r="U43" s="80" t="s">
        <v>201</v>
      </c>
      <c r="V43" s="80">
        <v>90</v>
      </c>
      <c r="W43" s="80" t="s">
        <v>488</v>
      </c>
      <c r="X43" s="83" t="s">
        <v>420</v>
      </c>
      <c r="Y43" s="80" t="s">
        <v>421</v>
      </c>
      <c r="Z43" s="87" t="s">
        <v>489</v>
      </c>
    </row>
    <row r="44" ht="41" customHeight="1" spans="1:26">
      <c r="A44" s="88" t="s">
        <v>271</v>
      </c>
      <c r="B44" s="88" t="s">
        <v>159</v>
      </c>
      <c r="C44" s="88" t="s">
        <v>203</v>
      </c>
      <c r="D44" s="88" t="s">
        <v>279</v>
      </c>
      <c r="E44" s="81" t="s">
        <v>75</v>
      </c>
      <c r="F44" s="88" t="s">
        <v>423</v>
      </c>
      <c r="G44" s="88">
        <v>0.015</v>
      </c>
      <c r="H44" s="88" t="s">
        <v>424</v>
      </c>
      <c r="I44" s="88" t="s">
        <v>201</v>
      </c>
      <c r="J44" s="88">
        <v>20</v>
      </c>
      <c r="K44" s="88" t="s">
        <v>425</v>
      </c>
      <c r="L44" s="83" t="s">
        <v>426</v>
      </c>
      <c r="M44" s="88" t="s">
        <v>416</v>
      </c>
      <c r="N44" s="88">
        <v>60</v>
      </c>
      <c r="O44" s="88" t="s">
        <v>427</v>
      </c>
      <c r="P44" s="83" t="s">
        <v>428</v>
      </c>
      <c r="Q44" s="88" t="s">
        <v>206</v>
      </c>
      <c r="R44" s="88">
        <v>90</v>
      </c>
      <c r="S44" s="88" t="s">
        <v>429</v>
      </c>
      <c r="T44" s="83" t="s">
        <v>430</v>
      </c>
      <c r="U44" s="88" t="s">
        <v>279</v>
      </c>
      <c r="V44" s="88"/>
      <c r="W44" s="88"/>
      <c r="X44" s="85" t="s">
        <v>431</v>
      </c>
      <c r="Y44" s="88"/>
      <c r="Z44" s="87" t="s">
        <v>490</v>
      </c>
    </row>
    <row r="45" ht="41" customHeight="1" spans="1:26">
      <c r="A45" s="80" t="s">
        <v>271</v>
      </c>
      <c r="B45" s="80" t="s">
        <v>159</v>
      </c>
      <c r="C45" s="80" t="s">
        <v>203</v>
      </c>
      <c r="D45" s="80" t="s">
        <v>279</v>
      </c>
      <c r="E45" s="81" t="s">
        <v>78</v>
      </c>
      <c r="F45" s="80" t="s">
        <v>423</v>
      </c>
      <c r="G45" s="80">
        <v>0.02</v>
      </c>
      <c r="H45" s="80" t="s">
        <v>410</v>
      </c>
      <c r="I45" s="80" t="s">
        <v>201</v>
      </c>
      <c r="J45" s="80">
        <v>20</v>
      </c>
      <c r="K45" s="80" t="s">
        <v>433</v>
      </c>
      <c r="L45" s="83" t="s">
        <v>434</v>
      </c>
      <c r="M45" s="80" t="s">
        <v>416</v>
      </c>
      <c r="N45" s="80">
        <v>60</v>
      </c>
      <c r="O45" s="80" t="s">
        <v>435</v>
      </c>
      <c r="P45" s="83" t="s">
        <v>436</v>
      </c>
      <c r="Q45" s="80" t="s">
        <v>206</v>
      </c>
      <c r="R45" s="80">
        <v>90</v>
      </c>
      <c r="S45" s="80" t="s">
        <v>437</v>
      </c>
      <c r="T45" s="83" t="s">
        <v>438</v>
      </c>
      <c r="U45" s="80" t="s">
        <v>279</v>
      </c>
      <c r="V45" s="80"/>
      <c r="W45" s="80"/>
      <c r="X45" s="83" t="s">
        <v>439</v>
      </c>
      <c r="Y45" s="80"/>
      <c r="Z45" s="87" t="s">
        <v>491</v>
      </c>
    </row>
    <row r="46" ht="41" customHeight="1" spans="1:26">
      <c r="A46" s="88" t="s">
        <v>271</v>
      </c>
      <c r="B46" s="88" t="s">
        <v>159</v>
      </c>
      <c r="C46" s="88" t="s">
        <v>203</v>
      </c>
      <c r="D46" s="88" t="s">
        <v>279</v>
      </c>
      <c r="E46" s="81" t="s">
        <v>80</v>
      </c>
      <c r="F46" s="88" t="s">
        <v>423</v>
      </c>
      <c r="G46" s="88">
        <v>0.015</v>
      </c>
      <c r="H46" s="88" t="s">
        <v>424</v>
      </c>
      <c r="I46" s="88" t="s">
        <v>201</v>
      </c>
      <c r="J46" s="88">
        <v>20</v>
      </c>
      <c r="K46" s="88" t="s">
        <v>441</v>
      </c>
      <c r="L46" s="83" t="s">
        <v>442</v>
      </c>
      <c r="M46" s="88" t="s">
        <v>416</v>
      </c>
      <c r="N46" s="88">
        <v>60</v>
      </c>
      <c r="O46" s="88" t="s">
        <v>443</v>
      </c>
      <c r="P46" s="83" t="s">
        <v>444</v>
      </c>
      <c r="Q46" s="88" t="s">
        <v>206</v>
      </c>
      <c r="R46" s="88">
        <v>90</v>
      </c>
      <c r="S46" s="88" t="s">
        <v>445</v>
      </c>
      <c r="T46" s="83" t="s">
        <v>446</v>
      </c>
      <c r="U46" s="88" t="s">
        <v>279</v>
      </c>
      <c r="V46" s="88"/>
      <c r="W46" s="88"/>
      <c r="X46" s="83" t="s">
        <v>447</v>
      </c>
      <c r="Y46" s="88"/>
      <c r="Z46" s="87" t="s">
        <v>492</v>
      </c>
    </row>
    <row r="47" ht="41" customHeight="1" spans="1:26">
      <c r="A47" s="80" t="s">
        <v>271</v>
      </c>
      <c r="B47" s="80" t="s">
        <v>493</v>
      </c>
      <c r="C47" s="80" t="s">
        <v>172</v>
      </c>
      <c r="D47" s="80" t="s">
        <v>173</v>
      </c>
      <c r="E47" s="81" t="s">
        <v>8</v>
      </c>
      <c r="F47" s="80" t="s">
        <v>9</v>
      </c>
      <c r="G47" s="80">
        <v>0.1</v>
      </c>
      <c r="H47" s="82">
        <v>1</v>
      </c>
      <c r="I47" s="80">
        <v>0.849999999999999</v>
      </c>
      <c r="J47" s="80">
        <v>0.1</v>
      </c>
      <c r="K47" s="80" t="s">
        <v>273</v>
      </c>
      <c r="L47" s="83" t="s">
        <v>274</v>
      </c>
      <c r="M47" s="80">
        <v>0.899999999999999</v>
      </c>
      <c r="N47" s="80">
        <v>0.11</v>
      </c>
      <c r="O47" s="80" t="s">
        <v>275</v>
      </c>
      <c r="P47" s="83" t="s">
        <v>276</v>
      </c>
      <c r="Q47" s="80">
        <v>0.99999999999999</v>
      </c>
      <c r="R47" s="80">
        <v>0.12</v>
      </c>
      <c r="S47" s="80" t="s">
        <v>277</v>
      </c>
      <c r="T47" s="83" t="s">
        <v>278</v>
      </c>
      <c r="U47" s="80" t="s">
        <v>279</v>
      </c>
      <c r="V47" s="80">
        <v>0.144</v>
      </c>
      <c r="W47" s="80" t="s">
        <v>280</v>
      </c>
      <c r="X47" s="85" t="s">
        <v>281</v>
      </c>
      <c r="Y47" s="80" t="s">
        <v>282</v>
      </c>
      <c r="Z47" s="87" t="s">
        <v>494</v>
      </c>
    </row>
    <row r="48" ht="41" customHeight="1" spans="1:26">
      <c r="A48" s="88" t="s">
        <v>271</v>
      </c>
      <c r="B48" s="88" t="s">
        <v>493</v>
      </c>
      <c r="C48" s="88" t="s">
        <v>172</v>
      </c>
      <c r="D48" s="88" t="s">
        <v>173</v>
      </c>
      <c r="E48" s="81" t="s">
        <v>12</v>
      </c>
      <c r="F48" s="88" t="s">
        <v>9</v>
      </c>
      <c r="G48" s="88">
        <v>0.1</v>
      </c>
      <c r="H48" s="88">
        <v>0.1359</v>
      </c>
      <c r="I48" s="88">
        <v>-1e-17</v>
      </c>
      <c r="J48" s="88">
        <v>0</v>
      </c>
      <c r="K48" s="88" t="s">
        <v>284</v>
      </c>
      <c r="L48" s="83" t="s">
        <v>285</v>
      </c>
      <c r="M48" s="88">
        <v>0.0532</v>
      </c>
      <c r="N48" s="88">
        <v>0.04</v>
      </c>
      <c r="O48" s="88" t="s">
        <v>286</v>
      </c>
      <c r="P48" s="83" t="s">
        <v>287</v>
      </c>
      <c r="Q48" s="88">
        <v>0.1359</v>
      </c>
      <c r="R48" s="88">
        <v>0.07</v>
      </c>
      <c r="S48" s="88" t="s">
        <v>288</v>
      </c>
      <c r="T48" s="83" t="s">
        <v>289</v>
      </c>
      <c r="U48" s="88" t="s">
        <v>279</v>
      </c>
      <c r="V48" s="88">
        <v>0.1</v>
      </c>
      <c r="W48" s="88" t="s">
        <v>290</v>
      </c>
      <c r="X48" s="83" t="s">
        <v>291</v>
      </c>
      <c r="Y48" s="88"/>
      <c r="Z48" s="87" t="s">
        <v>495</v>
      </c>
    </row>
    <row r="49" ht="41" customHeight="1" spans="1:26">
      <c r="A49" s="80" t="s">
        <v>271</v>
      </c>
      <c r="B49" s="80" t="s">
        <v>493</v>
      </c>
      <c r="C49" s="80" t="s">
        <v>172</v>
      </c>
      <c r="D49" s="80" t="s">
        <v>15</v>
      </c>
      <c r="E49" s="81" t="s">
        <v>16</v>
      </c>
      <c r="F49" s="80" t="s">
        <v>17</v>
      </c>
      <c r="G49" s="80">
        <v>0.058</v>
      </c>
      <c r="H49" s="80" t="s">
        <v>496</v>
      </c>
      <c r="I49" s="80">
        <v>155</v>
      </c>
      <c r="J49" s="80">
        <v>30</v>
      </c>
      <c r="K49" s="80" t="s">
        <v>294</v>
      </c>
      <c r="L49" s="83" t="s">
        <v>295</v>
      </c>
      <c r="M49" s="80">
        <v>439</v>
      </c>
      <c r="N49" s="80">
        <v>50</v>
      </c>
      <c r="O49" s="80" t="s">
        <v>296</v>
      </c>
      <c r="P49" s="83" t="s">
        <v>297</v>
      </c>
      <c r="Q49" s="80">
        <v>660</v>
      </c>
      <c r="R49" s="80">
        <v>70</v>
      </c>
      <c r="S49" s="80" t="s">
        <v>298</v>
      </c>
      <c r="T49" s="83" t="s">
        <v>299</v>
      </c>
      <c r="U49" s="80" t="s">
        <v>497</v>
      </c>
      <c r="V49" s="80">
        <v>90</v>
      </c>
      <c r="W49" s="80" t="s">
        <v>301</v>
      </c>
      <c r="X49" s="83" t="s">
        <v>302</v>
      </c>
      <c r="Y49" s="80"/>
      <c r="Z49" s="87" t="s">
        <v>498</v>
      </c>
    </row>
    <row r="50" ht="68" customHeight="1" spans="1:26">
      <c r="A50" s="88" t="s">
        <v>271</v>
      </c>
      <c r="B50" s="88" t="s">
        <v>493</v>
      </c>
      <c r="C50" s="88" t="s">
        <v>172</v>
      </c>
      <c r="D50" s="88" t="s">
        <v>15</v>
      </c>
      <c r="E50" s="81" t="s">
        <v>229</v>
      </c>
      <c r="F50" s="88" t="s">
        <v>9</v>
      </c>
      <c r="G50" s="88">
        <v>0.043</v>
      </c>
      <c r="H50" s="88">
        <v>0.131</v>
      </c>
      <c r="I50" s="88">
        <v>0.05</v>
      </c>
      <c r="J50" s="88">
        <v>30</v>
      </c>
      <c r="K50" s="88" t="s">
        <v>294</v>
      </c>
      <c r="L50" s="83" t="s">
        <v>304</v>
      </c>
      <c r="M50" s="88">
        <v>0.077</v>
      </c>
      <c r="N50" s="88">
        <v>50</v>
      </c>
      <c r="O50" s="88" t="s">
        <v>296</v>
      </c>
      <c r="P50" s="83" t="s">
        <v>305</v>
      </c>
      <c r="Q50" s="88">
        <v>0.131</v>
      </c>
      <c r="R50" s="88">
        <v>70</v>
      </c>
      <c r="S50" s="88" t="s">
        <v>298</v>
      </c>
      <c r="T50" s="83" t="s">
        <v>306</v>
      </c>
      <c r="U50" s="88" t="s">
        <v>499</v>
      </c>
      <c r="V50" s="88">
        <v>90</v>
      </c>
      <c r="W50" s="88" t="s">
        <v>301</v>
      </c>
      <c r="X50" s="83" t="s">
        <v>308</v>
      </c>
      <c r="Y50" s="88"/>
      <c r="Z50" s="87" t="s">
        <v>500</v>
      </c>
    </row>
    <row r="51" ht="41" customHeight="1" spans="1:26">
      <c r="A51" s="80" t="s">
        <v>271</v>
      </c>
      <c r="B51" s="80" t="s">
        <v>493</v>
      </c>
      <c r="C51" s="80" t="s">
        <v>172</v>
      </c>
      <c r="D51" s="80" t="s">
        <v>15</v>
      </c>
      <c r="E51" s="81" t="s">
        <v>27</v>
      </c>
      <c r="F51" s="80" t="s">
        <v>9</v>
      </c>
      <c r="G51" s="80">
        <v>0.13</v>
      </c>
      <c r="H51" s="80">
        <v>0.941</v>
      </c>
      <c r="I51" s="80">
        <v>0.855</v>
      </c>
      <c r="J51" s="80">
        <v>30</v>
      </c>
      <c r="K51" s="80" t="s">
        <v>294</v>
      </c>
      <c r="L51" s="83" t="s">
        <v>310</v>
      </c>
      <c r="M51" s="80">
        <v>0.915</v>
      </c>
      <c r="N51" s="80">
        <v>50</v>
      </c>
      <c r="O51" s="80" t="s">
        <v>296</v>
      </c>
      <c r="P51" s="83" t="s">
        <v>311</v>
      </c>
      <c r="Q51" s="80">
        <v>0.941</v>
      </c>
      <c r="R51" s="80">
        <v>70</v>
      </c>
      <c r="S51" s="80" t="s">
        <v>298</v>
      </c>
      <c r="T51" s="83" t="s">
        <v>312</v>
      </c>
      <c r="U51" s="80" t="s">
        <v>501</v>
      </c>
      <c r="V51" s="80">
        <v>90</v>
      </c>
      <c r="W51" s="80" t="s">
        <v>301</v>
      </c>
      <c r="X51" s="83" t="s">
        <v>314</v>
      </c>
      <c r="Y51" s="80"/>
      <c r="Z51" s="87" t="s">
        <v>502</v>
      </c>
    </row>
    <row r="52" ht="41" customHeight="1" spans="1:26">
      <c r="A52" s="88" t="s">
        <v>271</v>
      </c>
      <c r="B52" s="88" t="s">
        <v>493</v>
      </c>
      <c r="C52" s="88" t="s">
        <v>172</v>
      </c>
      <c r="D52" s="88" t="s">
        <v>15</v>
      </c>
      <c r="E52" s="81" t="s">
        <v>30</v>
      </c>
      <c r="F52" s="88" t="s">
        <v>17</v>
      </c>
      <c r="G52" s="88">
        <v>0.048</v>
      </c>
      <c r="H52" s="88" t="s">
        <v>503</v>
      </c>
      <c r="I52" s="88">
        <v>59.3</v>
      </c>
      <c r="J52" s="88">
        <v>30</v>
      </c>
      <c r="K52" s="88" t="s">
        <v>294</v>
      </c>
      <c r="L52" s="83" t="s">
        <v>317</v>
      </c>
      <c r="M52" s="88">
        <v>84.1</v>
      </c>
      <c r="N52" s="88">
        <v>50</v>
      </c>
      <c r="O52" s="88" t="s">
        <v>296</v>
      </c>
      <c r="P52" s="83" t="s">
        <v>318</v>
      </c>
      <c r="Q52" s="88">
        <v>108</v>
      </c>
      <c r="R52" s="88">
        <v>70</v>
      </c>
      <c r="S52" s="88" t="s">
        <v>298</v>
      </c>
      <c r="T52" s="83" t="s">
        <v>319</v>
      </c>
      <c r="U52" s="88" t="s">
        <v>504</v>
      </c>
      <c r="V52" s="88">
        <v>90</v>
      </c>
      <c r="W52" s="88" t="s">
        <v>301</v>
      </c>
      <c r="X52" s="83" t="s">
        <v>321</v>
      </c>
      <c r="Y52" s="88"/>
      <c r="Z52" s="87" t="s">
        <v>505</v>
      </c>
    </row>
    <row r="53" ht="55" customHeight="1" spans="1:26">
      <c r="A53" s="80" t="s">
        <v>271</v>
      </c>
      <c r="B53" s="80" t="s">
        <v>493</v>
      </c>
      <c r="C53" s="80" t="s">
        <v>172</v>
      </c>
      <c r="D53" s="80" t="s">
        <v>15</v>
      </c>
      <c r="E53" s="81" t="s">
        <v>34</v>
      </c>
      <c r="F53" s="80" t="s">
        <v>17</v>
      </c>
      <c r="G53" s="80">
        <v>0.024</v>
      </c>
      <c r="H53" s="80" t="s">
        <v>506</v>
      </c>
      <c r="I53" s="80">
        <v>2</v>
      </c>
      <c r="J53" s="80">
        <v>30</v>
      </c>
      <c r="K53" s="80" t="s">
        <v>294</v>
      </c>
      <c r="L53" s="83" t="s">
        <v>324</v>
      </c>
      <c r="M53" s="80">
        <v>3</v>
      </c>
      <c r="N53" s="80">
        <v>50</v>
      </c>
      <c r="O53" s="80" t="s">
        <v>296</v>
      </c>
      <c r="P53" s="83" t="s">
        <v>325</v>
      </c>
      <c r="Q53" s="80">
        <v>4</v>
      </c>
      <c r="R53" s="80">
        <v>70</v>
      </c>
      <c r="S53" s="80" t="s">
        <v>298</v>
      </c>
      <c r="T53" s="83" t="s">
        <v>326</v>
      </c>
      <c r="U53" s="80" t="s">
        <v>389</v>
      </c>
      <c r="V53" s="80">
        <v>90</v>
      </c>
      <c r="W53" s="80" t="s">
        <v>301</v>
      </c>
      <c r="X53" s="83" t="s">
        <v>328</v>
      </c>
      <c r="Y53" s="80"/>
      <c r="Z53" s="87" t="s">
        <v>507</v>
      </c>
    </row>
    <row r="54" ht="41" customHeight="1" spans="1:26">
      <c r="A54" s="88" t="s">
        <v>271</v>
      </c>
      <c r="B54" s="88" t="s">
        <v>493</v>
      </c>
      <c r="C54" s="88" t="s">
        <v>172</v>
      </c>
      <c r="D54" s="88" t="s">
        <v>15</v>
      </c>
      <c r="E54" s="81" t="s">
        <v>38</v>
      </c>
      <c r="F54" s="88" t="s">
        <v>39</v>
      </c>
      <c r="G54" s="88">
        <v>0.072</v>
      </c>
      <c r="H54" s="88" t="s">
        <v>508</v>
      </c>
      <c r="I54" s="88">
        <v>610.2</v>
      </c>
      <c r="J54" s="88">
        <v>30</v>
      </c>
      <c r="K54" s="88" t="s">
        <v>294</v>
      </c>
      <c r="L54" s="83" t="s">
        <v>331</v>
      </c>
      <c r="M54" s="88">
        <v>712.4</v>
      </c>
      <c r="N54" s="88">
        <v>50</v>
      </c>
      <c r="O54" s="88" t="s">
        <v>296</v>
      </c>
      <c r="P54" s="83" t="s">
        <v>332</v>
      </c>
      <c r="Q54" s="88">
        <v>857.1</v>
      </c>
      <c r="R54" s="88">
        <v>70</v>
      </c>
      <c r="S54" s="88" t="s">
        <v>298</v>
      </c>
      <c r="T54" s="83" t="s">
        <v>333</v>
      </c>
      <c r="U54" s="88" t="s">
        <v>509</v>
      </c>
      <c r="V54" s="88">
        <v>90</v>
      </c>
      <c r="W54" s="88" t="s">
        <v>301</v>
      </c>
      <c r="X54" s="83" t="s">
        <v>335</v>
      </c>
      <c r="Y54" s="88"/>
      <c r="Z54" s="87" t="s">
        <v>510</v>
      </c>
    </row>
    <row r="55" ht="55" customHeight="1" spans="1:26">
      <c r="A55" s="80" t="s">
        <v>271</v>
      </c>
      <c r="B55" s="80" t="s">
        <v>493</v>
      </c>
      <c r="C55" s="80" t="s">
        <v>172</v>
      </c>
      <c r="D55" s="80" t="s">
        <v>15</v>
      </c>
      <c r="E55" s="81" t="s">
        <v>42</v>
      </c>
      <c r="F55" s="80" t="s">
        <v>9</v>
      </c>
      <c r="G55" s="80">
        <v>0.01</v>
      </c>
      <c r="H55" s="80">
        <v>1</v>
      </c>
      <c r="I55" s="80">
        <v>0.74</v>
      </c>
      <c r="J55" s="80">
        <v>30</v>
      </c>
      <c r="K55" s="80" t="s">
        <v>294</v>
      </c>
      <c r="L55" s="83" t="s">
        <v>337</v>
      </c>
      <c r="M55" s="80">
        <v>0.87</v>
      </c>
      <c r="N55" s="80">
        <v>50</v>
      </c>
      <c r="O55" s="80" t="s">
        <v>296</v>
      </c>
      <c r="P55" s="83" t="s">
        <v>338</v>
      </c>
      <c r="Q55" s="80">
        <v>1</v>
      </c>
      <c r="R55" s="80">
        <v>70</v>
      </c>
      <c r="S55" s="80" t="s">
        <v>339</v>
      </c>
      <c r="T55" s="83" t="s">
        <v>340</v>
      </c>
      <c r="U55" s="80" t="s">
        <v>279</v>
      </c>
      <c r="V55" s="80"/>
      <c r="W55" s="80"/>
      <c r="X55" s="83" t="s">
        <v>340</v>
      </c>
      <c r="Y55" s="80" t="s">
        <v>341</v>
      </c>
      <c r="Z55" s="87" t="s">
        <v>511</v>
      </c>
    </row>
    <row r="56" ht="55" customHeight="1" spans="1:26">
      <c r="A56" s="88" t="s">
        <v>271</v>
      </c>
      <c r="B56" s="88" t="s">
        <v>493</v>
      </c>
      <c r="C56" s="88" t="s">
        <v>172</v>
      </c>
      <c r="D56" s="88" t="s">
        <v>15</v>
      </c>
      <c r="E56" s="81" t="s">
        <v>23</v>
      </c>
      <c r="F56" s="88" t="s">
        <v>24</v>
      </c>
      <c r="G56" s="88">
        <v>0.095</v>
      </c>
      <c r="H56" s="88" t="s">
        <v>512</v>
      </c>
      <c r="I56" s="88">
        <v>3.4</v>
      </c>
      <c r="J56" s="88">
        <v>30</v>
      </c>
      <c r="K56" s="88" t="s">
        <v>294</v>
      </c>
      <c r="L56" s="83" t="s">
        <v>344</v>
      </c>
      <c r="M56" s="88">
        <v>5.3</v>
      </c>
      <c r="N56" s="88">
        <v>50</v>
      </c>
      <c r="O56" s="88" t="s">
        <v>296</v>
      </c>
      <c r="P56" s="83" t="s">
        <v>345</v>
      </c>
      <c r="Q56" s="88">
        <v>8.7</v>
      </c>
      <c r="R56" s="88">
        <v>70</v>
      </c>
      <c r="S56" s="88" t="s">
        <v>298</v>
      </c>
      <c r="T56" s="83" t="s">
        <v>346</v>
      </c>
      <c r="U56" s="88" t="s">
        <v>513</v>
      </c>
      <c r="V56" s="88">
        <v>90</v>
      </c>
      <c r="W56" s="88" t="s">
        <v>301</v>
      </c>
      <c r="X56" s="83" t="s">
        <v>348</v>
      </c>
      <c r="Y56" s="88"/>
      <c r="Z56" s="87" t="s">
        <v>514</v>
      </c>
    </row>
    <row r="57" ht="55" customHeight="1" spans="1:26">
      <c r="A57" s="80" t="s">
        <v>271</v>
      </c>
      <c r="B57" s="80" t="s">
        <v>493</v>
      </c>
      <c r="C57" s="80" t="s">
        <v>172</v>
      </c>
      <c r="D57" s="80" t="s">
        <v>44</v>
      </c>
      <c r="E57" s="81" t="s">
        <v>45</v>
      </c>
      <c r="F57" s="80" t="s">
        <v>35</v>
      </c>
      <c r="G57" s="80">
        <v>0.035</v>
      </c>
      <c r="H57" s="80" t="s">
        <v>515</v>
      </c>
      <c r="I57" s="80">
        <v>12</v>
      </c>
      <c r="J57" s="80">
        <v>30</v>
      </c>
      <c r="K57" s="80" t="s">
        <v>294</v>
      </c>
      <c r="L57" s="83" t="s">
        <v>352</v>
      </c>
      <c r="M57" s="80">
        <v>20</v>
      </c>
      <c r="N57" s="80">
        <v>50</v>
      </c>
      <c r="O57" s="80" t="s">
        <v>296</v>
      </c>
      <c r="P57" s="83" t="s">
        <v>353</v>
      </c>
      <c r="Q57" s="80">
        <v>32</v>
      </c>
      <c r="R57" s="80">
        <v>70</v>
      </c>
      <c r="S57" s="80" t="s">
        <v>298</v>
      </c>
      <c r="T57" s="83" t="s">
        <v>354</v>
      </c>
      <c r="U57" s="80" t="s">
        <v>516</v>
      </c>
      <c r="V57" s="80">
        <v>90</v>
      </c>
      <c r="W57" s="80" t="s">
        <v>301</v>
      </c>
      <c r="X57" s="83" t="s">
        <v>356</v>
      </c>
      <c r="Y57" s="80"/>
      <c r="Z57" s="87" t="s">
        <v>517</v>
      </c>
    </row>
    <row r="58" ht="55" customHeight="1" spans="1:26">
      <c r="A58" s="88" t="s">
        <v>271</v>
      </c>
      <c r="B58" s="88" t="s">
        <v>493</v>
      </c>
      <c r="C58" s="88" t="s">
        <v>172</v>
      </c>
      <c r="D58" s="88" t="s">
        <v>44</v>
      </c>
      <c r="E58" s="81" t="s">
        <v>48</v>
      </c>
      <c r="F58" s="88" t="s">
        <v>39</v>
      </c>
      <c r="G58" s="88">
        <v>0.015</v>
      </c>
      <c r="H58" s="88" t="s">
        <v>518</v>
      </c>
      <c r="I58" s="88">
        <v>0.292</v>
      </c>
      <c r="J58" s="88">
        <v>30</v>
      </c>
      <c r="K58" s="88" t="s">
        <v>294</v>
      </c>
      <c r="L58" s="83" t="s">
        <v>359</v>
      </c>
      <c r="M58" s="88">
        <v>0.486</v>
      </c>
      <c r="N58" s="88">
        <v>50</v>
      </c>
      <c r="O58" s="88" t="s">
        <v>296</v>
      </c>
      <c r="P58" s="83" t="s">
        <v>360</v>
      </c>
      <c r="Q58" s="88">
        <v>0.98</v>
      </c>
      <c r="R58" s="88">
        <v>70</v>
      </c>
      <c r="S58" s="88" t="s">
        <v>298</v>
      </c>
      <c r="T58" s="83" t="s">
        <v>361</v>
      </c>
      <c r="U58" s="88" t="s">
        <v>519</v>
      </c>
      <c r="V58" s="88">
        <v>90</v>
      </c>
      <c r="W58" s="88" t="s">
        <v>301</v>
      </c>
      <c r="X58" s="83" t="s">
        <v>363</v>
      </c>
      <c r="Y58" s="88"/>
      <c r="Z58" s="87" t="s">
        <v>520</v>
      </c>
    </row>
    <row r="59" ht="82" customHeight="1" spans="1:26">
      <c r="A59" s="80" t="s">
        <v>271</v>
      </c>
      <c r="B59" s="80" t="s">
        <v>493</v>
      </c>
      <c r="C59" s="80" t="s">
        <v>172</v>
      </c>
      <c r="D59" s="80" t="s">
        <v>52</v>
      </c>
      <c r="E59" s="81" t="s">
        <v>190</v>
      </c>
      <c r="F59" s="80" t="s">
        <v>17</v>
      </c>
      <c r="G59" s="80">
        <v>0.06</v>
      </c>
      <c r="H59" s="80" t="s">
        <v>365</v>
      </c>
      <c r="I59" s="80">
        <v>2</v>
      </c>
      <c r="J59" s="80">
        <v>20</v>
      </c>
      <c r="K59" s="80" t="s">
        <v>366</v>
      </c>
      <c r="L59" s="83" t="s">
        <v>367</v>
      </c>
      <c r="M59" s="80">
        <v>3</v>
      </c>
      <c r="N59" s="80">
        <v>70</v>
      </c>
      <c r="O59" s="80" t="s">
        <v>298</v>
      </c>
      <c r="P59" s="83" t="s">
        <v>368</v>
      </c>
      <c r="Q59" s="80">
        <v>4</v>
      </c>
      <c r="R59" s="80">
        <v>90</v>
      </c>
      <c r="S59" s="80" t="s">
        <v>369</v>
      </c>
      <c r="T59" s="83" t="s">
        <v>370</v>
      </c>
      <c r="U59" s="80" t="s">
        <v>371</v>
      </c>
      <c r="V59" s="80">
        <v>90</v>
      </c>
      <c r="W59" s="80" t="s">
        <v>369</v>
      </c>
      <c r="X59" s="83" t="s">
        <v>372</v>
      </c>
      <c r="Y59" s="80" t="s">
        <v>373</v>
      </c>
      <c r="Z59" s="87" t="s">
        <v>521</v>
      </c>
    </row>
    <row r="60" ht="41" customHeight="1" spans="1:26">
      <c r="A60" s="88" t="s">
        <v>271</v>
      </c>
      <c r="B60" s="88" t="s">
        <v>493</v>
      </c>
      <c r="C60" s="88" t="s">
        <v>172</v>
      </c>
      <c r="D60" s="88" t="s">
        <v>56</v>
      </c>
      <c r="E60" s="81" t="s">
        <v>192</v>
      </c>
      <c r="F60" s="88" t="s">
        <v>17</v>
      </c>
      <c r="G60" s="88">
        <v>0.06</v>
      </c>
      <c r="H60" s="88" t="s">
        <v>522</v>
      </c>
      <c r="I60" s="88">
        <v>3</v>
      </c>
      <c r="J60" s="88">
        <v>20</v>
      </c>
      <c r="K60" s="88" t="s">
        <v>523</v>
      </c>
      <c r="L60" s="83" t="s">
        <v>376</v>
      </c>
      <c r="M60" s="88">
        <v>4</v>
      </c>
      <c r="N60" s="88">
        <v>50</v>
      </c>
      <c r="O60" s="88" t="s">
        <v>524</v>
      </c>
      <c r="P60" s="83" t="s">
        <v>378</v>
      </c>
      <c r="Q60" s="88">
        <v>5</v>
      </c>
      <c r="R60" s="88">
        <v>70</v>
      </c>
      <c r="S60" s="88" t="s">
        <v>525</v>
      </c>
      <c r="T60" s="83" t="s">
        <v>380</v>
      </c>
      <c r="U60" s="88" t="s">
        <v>279</v>
      </c>
      <c r="V60" s="88">
        <v>90</v>
      </c>
      <c r="W60" s="88" t="s">
        <v>526</v>
      </c>
      <c r="X60" s="83" t="s">
        <v>382</v>
      </c>
      <c r="Y60" s="88" t="s">
        <v>383</v>
      </c>
      <c r="Z60" s="87" t="s">
        <v>527</v>
      </c>
    </row>
    <row r="61" ht="55" customHeight="1" spans="1:26">
      <c r="A61" s="80" t="s">
        <v>271</v>
      </c>
      <c r="B61" s="80" t="s">
        <v>493</v>
      </c>
      <c r="C61" s="80" t="s">
        <v>193</v>
      </c>
      <c r="D61" s="80" t="s">
        <v>194</v>
      </c>
      <c r="E61" s="81" t="s">
        <v>64</v>
      </c>
      <c r="F61" s="80" t="s">
        <v>65</v>
      </c>
      <c r="G61" s="80">
        <v>0.015</v>
      </c>
      <c r="H61" s="80" t="s">
        <v>528</v>
      </c>
      <c r="I61" s="80">
        <v>1</v>
      </c>
      <c r="J61" s="80">
        <v>30</v>
      </c>
      <c r="K61" s="80" t="s">
        <v>294</v>
      </c>
      <c r="L61" s="83" t="s">
        <v>386</v>
      </c>
      <c r="M61" s="80">
        <v>3</v>
      </c>
      <c r="N61" s="80">
        <v>50</v>
      </c>
      <c r="O61" s="80" t="s">
        <v>296</v>
      </c>
      <c r="P61" s="83" t="s">
        <v>387</v>
      </c>
      <c r="Q61" s="80">
        <v>6</v>
      </c>
      <c r="R61" s="80">
        <v>70</v>
      </c>
      <c r="S61" s="80" t="s">
        <v>298</v>
      </c>
      <c r="T61" s="83" t="s">
        <v>388</v>
      </c>
      <c r="U61" s="80" t="s">
        <v>529</v>
      </c>
      <c r="V61" s="80">
        <v>90</v>
      </c>
      <c r="W61" s="80" t="s">
        <v>301</v>
      </c>
      <c r="X61" s="83" t="s">
        <v>390</v>
      </c>
      <c r="Y61" s="80"/>
      <c r="Z61" s="87" t="s">
        <v>530</v>
      </c>
    </row>
    <row r="62" ht="82" customHeight="1" spans="1:26">
      <c r="A62" s="88" t="s">
        <v>271</v>
      </c>
      <c r="B62" s="88" t="s">
        <v>493</v>
      </c>
      <c r="C62" s="88" t="s">
        <v>193</v>
      </c>
      <c r="D62" s="88" t="s">
        <v>194</v>
      </c>
      <c r="E62" s="81" t="s">
        <v>67</v>
      </c>
      <c r="F62" s="88" t="s">
        <v>65</v>
      </c>
      <c r="G62" s="88">
        <v>0.035</v>
      </c>
      <c r="H62" s="88" t="s">
        <v>531</v>
      </c>
      <c r="I62" s="88">
        <v>13</v>
      </c>
      <c r="J62" s="88">
        <v>30</v>
      </c>
      <c r="K62" s="88" t="s">
        <v>294</v>
      </c>
      <c r="L62" s="83" t="s">
        <v>393</v>
      </c>
      <c r="M62" s="88">
        <v>20</v>
      </c>
      <c r="N62" s="88">
        <v>50</v>
      </c>
      <c r="O62" s="88" t="s">
        <v>296</v>
      </c>
      <c r="P62" s="83" t="s">
        <v>394</v>
      </c>
      <c r="Q62" s="88">
        <v>30</v>
      </c>
      <c r="R62" s="88">
        <v>70</v>
      </c>
      <c r="S62" s="88" t="s">
        <v>298</v>
      </c>
      <c r="T62" s="83" t="s">
        <v>395</v>
      </c>
      <c r="U62" s="88" t="s">
        <v>532</v>
      </c>
      <c r="V62" s="88">
        <v>90</v>
      </c>
      <c r="W62" s="88" t="s">
        <v>397</v>
      </c>
      <c r="X62" s="83" t="s">
        <v>398</v>
      </c>
      <c r="Y62" s="88" t="s">
        <v>399</v>
      </c>
      <c r="Z62" s="87" t="s">
        <v>533</v>
      </c>
    </row>
    <row r="63" ht="41" customHeight="1" spans="1:26">
      <c r="A63" s="80" t="s">
        <v>271</v>
      </c>
      <c r="B63" s="80" t="s">
        <v>493</v>
      </c>
      <c r="C63" s="80" t="s">
        <v>193</v>
      </c>
      <c r="D63" s="80" t="s">
        <v>197</v>
      </c>
      <c r="E63" s="81" t="s">
        <v>60</v>
      </c>
      <c r="F63" s="80" t="s">
        <v>401</v>
      </c>
      <c r="G63" s="80">
        <v>0.03</v>
      </c>
      <c r="H63" s="80" t="s">
        <v>534</v>
      </c>
      <c r="I63" s="80">
        <v>1.06</v>
      </c>
      <c r="J63" s="80">
        <v>30</v>
      </c>
      <c r="K63" s="80" t="s">
        <v>294</v>
      </c>
      <c r="L63" s="83" t="s">
        <v>403</v>
      </c>
      <c r="M63" s="80">
        <v>1.65</v>
      </c>
      <c r="N63" s="80">
        <v>50</v>
      </c>
      <c r="O63" s="80" t="s">
        <v>296</v>
      </c>
      <c r="P63" s="83" t="s">
        <v>404</v>
      </c>
      <c r="Q63" s="80">
        <v>2.01</v>
      </c>
      <c r="R63" s="80">
        <v>70</v>
      </c>
      <c r="S63" s="80" t="s">
        <v>298</v>
      </c>
      <c r="T63" s="83" t="s">
        <v>405</v>
      </c>
      <c r="U63" s="80" t="s">
        <v>535</v>
      </c>
      <c r="V63" s="80">
        <v>90</v>
      </c>
      <c r="W63" s="80" t="s">
        <v>301</v>
      </c>
      <c r="X63" s="83" t="s">
        <v>407</v>
      </c>
      <c r="Y63" s="80"/>
      <c r="Z63" s="87" t="s">
        <v>536</v>
      </c>
    </row>
    <row r="64" ht="68" customHeight="1" spans="1:26">
      <c r="A64" s="88" t="s">
        <v>271</v>
      </c>
      <c r="B64" s="88" t="s">
        <v>493</v>
      </c>
      <c r="C64" s="88" t="s">
        <v>193</v>
      </c>
      <c r="D64" s="88" t="s">
        <v>70</v>
      </c>
      <c r="E64" s="81" t="s">
        <v>70</v>
      </c>
      <c r="F64" s="88" t="s">
        <v>409</v>
      </c>
      <c r="G64" s="88">
        <v>0.02</v>
      </c>
      <c r="H64" s="88" t="s">
        <v>537</v>
      </c>
      <c r="I64" s="88" t="s">
        <v>411</v>
      </c>
      <c r="J64" s="88">
        <v>0</v>
      </c>
      <c r="K64" s="88" t="s">
        <v>412</v>
      </c>
      <c r="L64" s="83" t="s">
        <v>413</v>
      </c>
      <c r="M64" s="88" t="s">
        <v>206</v>
      </c>
      <c r="N64" s="88">
        <v>30</v>
      </c>
      <c r="O64" s="88" t="s">
        <v>414</v>
      </c>
      <c r="P64" s="83" t="s">
        <v>415</v>
      </c>
      <c r="Q64" s="88" t="s">
        <v>416</v>
      </c>
      <c r="R64" s="88">
        <v>70</v>
      </c>
      <c r="S64" s="88" t="s">
        <v>417</v>
      </c>
      <c r="T64" s="83" t="s">
        <v>418</v>
      </c>
      <c r="U64" s="88" t="s">
        <v>201</v>
      </c>
      <c r="V64" s="88">
        <v>90</v>
      </c>
      <c r="W64" s="88" t="s">
        <v>488</v>
      </c>
      <c r="X64" s="83" t="s">
        <v>420</v>
      </c>
      <c r="Y64" s="88" t="s">
        <v>421</v>
      </c>
      <c r="Z64" s="87" t="s">
        <v>538</v>
      </c>
    </row>
    <row r="65" ht="41" customHeight="1" spans="1:26">
      <c r="A65" s="80" t="s">
        <v>271</v>
      </c>
      <c r="B65" s="80" t="s">
        <v>493</v>
      </c>
      <c r="C65" s="80" t="s">
        <v>203</v>
      </c>
      <c r="D65" s="80" t="s">
        <v>279</v>
      </c>
      <c r="E65" s="81" t="s">
        <v>75</v>
      </c>
      <c r="F65" s="80" t="s">
        <v>423</v>
      </c>
      <c r="G65" s="80">
        <v>0.015</v>
      </c>
      <c r="H65" s="80" t="s">
        <v>424</v>
      </c>
      <c r="I65" s="80" t="s">
        <v>201</v>
      </c>
      <c r="J65" s="80">
        <v>20</v>
      </c>
      <c r="K65" s="80" t="s">
        <v>425</v>
      </c>
      <c r="L65" s="83" t="s">
        <v>426</v>
      </c>
      <c r="M65" s="80" t="s">
        <v>416</v>
      </c>
      <c r="N65" s="80">
        <v>60</v>
      </c>
      <c r="O65" s="80" t="s">
        <v>427</v>
      </c>
      <c r="P65" s="83" t="s">
        <v>428</v>
      </c>
      <c r="Q65" s="80" t="s">
        <v>206</v>
      </c>
      <c r="R65" s="80">
        <v>90</v>
      </c>
      <c r="S65" s="80" t="s">
        <v>429</v>
      </c>
      <c r="T65" s="83" t="s">
        <v>430</v>
      </c>
      <c r="U65" s="80" t="s">
        <v>279</v>
      </c>
      <c r="V65" s="80"/>
      <c r="W65" s="80"/>
      <c r="X65" s="85" t="s">
        <v>431</v>
      </c>
      <c r="Y65" s="80"/>
      <c r="Z65" s="87" t="s">
        <v>539</v>
      </c>
    </row>
    <row r="66" ht="41" customHeight="1" spans="1:26">
      <c r="A66" s="88" t="s">
        <v>271</v>
      </c>
      <c r="B66" s="88" t="s">
        <v>493</v>
      </c>
      <c r="C66" s="88" t="s">
        <v>203</v>
      </c>
      <c r="D66" s="88" t="s">
        <v>279</v>
      </c>
      <c r="E66" s="81" t="s">
        <v>78</v>
      </c>
      <c r="F66" s="88" t="s">
        <v>423</v>
      </c>
      <c r="G66" s="88">
        <v>0.02</v>
      </c>
      <c r="H66" s="88" t="s">
        <v>410</v>
      </c>
      <c r="I66" s="88" t="s">
        <v>201</v>
      </c>
      <c r="J66" s="88">
        <v>20</v>
      </c>
      <c r="K66" s="88" t="s">
        <v>433</v>
      </c>
      <c r="L66" s="83" t="s">
        <v>434</v>
      </c>
      <c r="M66" s="88" t="s">
        <v>416</v>
      </c>
      <c r="N66" s="88">
        <v>60</v>
      </c>
      <c r="O66" s="88" t="s">
        <v>435</v>
      </c>
      <c r="P66" s="83" t="s">
        <v>436</v>
      </c>
      <c r="Q66" s="88" t="s">
        <v>206</v>
      </c>
      <c r="R66" s="88">
        <v>90</v>
      </c>
      <c r="S66" s="88" t="s">
        <v>437</v>
      </c>
      <c r="T66" s="83" t="s">
        <v>438</v>
      </c>
      <c r="U66" s="88" t="s">
        <v>279</v>
      </c>
      <c r="V66" s="88"/>
      <c r="W66" s="88"/>
      <c r="X66" s="83" t="s">
        <v>439</v>
      </c>
      <c r="Y66" s="88"/>
      <c r="Z66" s="87" t="s">
        <v>540</v>
      </c>
    </row>
    <row r="67" ht="41" customHeight="1" spans="1:26">
      <c r="A67" s="80" t="s">
        <v>271</v>
      </c>
      <c r="B67" s="80" t="s">
        <v>493</v>
      </c>
      <c r="C67" s="80" t="s">
        <v>203</v>
      </c>
      <c r="D67" s="80" t="s">
        <v>279</v>
      </c>
      <c r="E67" s="81" t="s">
        <v>80</v>
      </c>
      <c r="F67" s="80" t="s">
        <v>423</v>
      </c>
      <c r="G67" s="80">
        <v>0.015</v>
      </c>
      <c r="H67" s="80" t="s">
        <v>424</v>
      </c>
      <c r="I67" s="80" t="s">
        <v>201</v>
      </c>
      <c r="J67" s="80">
        <v>20</v>
      </c>
      <c r="K67" s="80" t="s">
        <v>441</v>
      </c>
      <c r="L67" s="83" t="s">
        <v>442</v>
      </c>
      <c r="M67" s="80" t="s">
        <v>416</v>
      </c>
      <c r="N67" s="80">
        <v>60</v>
      </c>
      <c r="O67" s="80" t="s">
        <v>443</v>
      </c>
      <c r="P67" s="83" t="s">
        <v>444</v>
      </c>
      <c r="Q67" s="80" t="s">
        <v>206</v>
      </c>
      <c r="R67" s="80">
        <v>90</v>
      </c>
      <c r="S67" s="80" t="s">
        <v>445</v>
      </c>
      <c r="T67" s="83" t="s">
        <v>446</v>
      </c>
      <c r="U67" s="80" t="s">
        <v>279</v>
      </c>
      <c r="V67" s="80"/>
      <c r="W67" s="80"/>
      <c r="X67" s="83" t="s">
        <v>447</v>
      </c>
      <c r="Y67" s="80"/>
      <c r="Z67" s="87" t="s">
        <v>541</v>
      </c>
    </row>
    <row r="68" ht="41" customHeight="1" spans="1:26">
      <c r="A68" s="88" t="s">
        <v>542</v>
      </c>
      <c r="B68" s="88" t="s">
        <v>272</v>
      </c>
      <c r="C68" s="88" t="s">
        <v>172</v>
      </c>
      <c r="D68" s="88" t="s">
        <v>173</v>
      </c>
      <c r="E68" s="81" t="s">
        <v>8</v>
      </c>
      <c r="F68" s="88" t="s">
        <v>9</v>
      </c>
      <c r="G68" s="88">
        <v>0.1</v>
      </c>
      <c r="H68" s="88">
        <v>1</v>
      </c>
      <c r="I68" s="88">
        <v>0.849999999999999</v>
      </c>
      <c r="J68" s="88">
        <v>0.1</v>
      </c>
      <c r="K68" s="88" t="s">
        <v>273</v>
      </c>
      <c r="L68" s="83" t="s">
        <v>274</v>
      </c>
      <c r="M68" s="88">
        <v>0.899999999999999</v>
      </c>
      <c r="N68" s="88">
        <v>0.11</v>
      </c>
      <c r="O68" s="88" t="s">
        <v>275</v>
      </c>
      <c r="P68" s="83" t="s">
        <v>276</v>
      </c>
      <c r="Q68" s="88">
        <v>0.99999999999999</v>
      </c>
      <c r="R68" s="88">
        <v>0.12</v>
      </c>
      <c r="S68" s="88" t="s">
        <v>277</v>
      </c>
      <c r="T68" s="83" t="s">
        <v>278</v>
      </c>
      <c r="U68" s="88" t="s">
        <v>279</v>
      </c>
      <c r="V68" s="88">
        <v>0.144</v>
      </c>
      <c r="W68" s="88" t="s">
        <v>280</v>
      </c>
      <c r="X68" s="85" t="s">
        <v>281</v>
      </c>
      <c r="Y68" s="88" t="s">
        <v>282</v>
      </c>
      <c r="Z68" s="87" t="s">
        <v>543</v>
      </c>
    </row>
    <row r="69" ht="41" customHeight="1" spans="1:26">
      <c r="A69" s="80" t="s">
        <v>542</v>
      </c>
      <c r="B69" s="80" t="s">
        <v>272</v>
      </c>
      <c r="C69" s="80" t="s">
        <v>172</v>
      </c>
      <c r="D69" s="80" t="s">
        <v>173</v>
      </c>
      <c r="E69" s="81" t="s">
        <v>12</v>
      </c>
      <c r="F69" s="80" t="s">
        <v>9</v>
      </c>
      <c r="G69" s="80">
        <v>0.1</v>
      </c>
      <c r="H69" s="80">
        <v>0.386</v>
      </c>
      <c r="I69" s="80">
        <v>-1e-17</v>
      </c>
      <c r="J69" s="80">
        <v>0</v>
      </c>
      <c r="K69" s="80" t="s">
        <v>284</v>
      </c>
      <c r="L69" s="83" t="s">
        <v>285</v>
      </c>
      <c r="M69" s="80">
        <v>0.1267</v>
      </c>
      <c r="N69" s="80">
        <v>0.04</v>
      </c>
      <c r="O69" s="80" t="s">
        <v>286</v>
      </c>
      <c r="P69" s="83" t="s">
        <v>287</v>
      </c>
      <c r="Q69" s="80">
        <v>0.3857</v>
      </c>
      <c r="R69" s="80">
        <v>0.07</v>
      </c>
      <c r="S69" s="80" t="s">
        <v>288</v>
      </c>
      <c r="T69" s="83" t="s">
        <v>289</v>
      </c>
      <c r="U69" s="80" t="s">
        <v>279</v>
      </c>
      <c r="V69" s="80">
        <v>0.1</v>
      </c>
      <c r="W69" s="80" t="s">
        <v>290</v>
      </c>
      <c r="X69" s="83" t="s">
        <v>291</v>
      </c>
      <c r="Y69" s="80"/>
      <c r="Z69" s="87" t="s">
        <v>544</v>
      </c>
    </row>
    <row r="70" ht="41" customHeight="1" spans="1:26">
      <c r="A70" s="88" t="s">
        <v>542</v>
      </c>
      <c r="B70" s="88" t="s">
        <v>272</v>
      </c>
      <c r="C70" s="88" t="s">
        <v>172</v>
      </c>
      <c r="D70" s="88" t="s">
        <v>15</v>
      </c>
      <c r="E70" s="81" t="s">
        <v>16</v>
      </c>
      <c r="F70" s="88" t="s">
        <v>17</v>
      </c>
      <c r="G70" s="88">
        <v>0.058</v>
      </c>
      <c r="H70" s="88" t="s">
        <v>545</v>
      </c>
      <c r="I70" s="88">
        <v>177</v>
      </c>
      <c r="J70" s="88">
        <v>30</v>
      </c>
      <c r="K70" s="88" t="s">
        <v>294</v>
      </c>
      <c r="L70" s="83" t="s">
        <v>295</v>
      </c>
      <c r="M70" s="88">
        <v>267</v>
      </c>
      <c r="N70" s="88">
        <v>50</v>
      </c>
      <c r="O70" s="88" t="s">
        <v>296</v>
      </c>
      <c r="P70" s="83" t="s">
        <v>297</v>
      </c>
      <c r="Q70" s="88">
        <v>334</v>
      </c>
      <c r="R70" s="88">
        <v>70</v>
      </c>
      <c r="S70" s="88" t="s">
        <v>298</v>
      </c>
      <c r="T70" s="83" t="s">
        <v>299</v>
      </c>
      <c r="U70" s="88" t="s">
        <v>546</v>
      </c>
      <c r="V70" s="88">
        <v>90</v>
      </c>
      <c r="W70" s="88" t="s">
        <v>301</v>
      </c>
      <c r="X70" s="83" t="s">
        <v>302</v>
      </c>
      <c r="Y70" s="88"/>
      <c r="Z70" s="87" t="s">
        <v>547</v>
      </c>
    </row>
    <row r="71" ht="68" customHeight="1" spans="1:26">
      <c r="A71" s="80" t="s">
        <v>542</v>
      </c>
      <c r="B71" s="80" t="s">
        <v>272</v>
      </c>
      <c r="C71" s="80" t="s">
        <v>172</v>
      </c>
      <c r="D71" s="80" t="s">
        <v>15</v>
      </c>
      <c r="E71" s="81" t="s">
        <v>229</v>
      </c>
      <c r="F71" s="80" t="s">
        <v>9</v>
      </c>
      <c r="G71" s="80">
        <v>0.043</v>
      </c>
      <c r="H71" s="91">
        <v>0.202</v>
      </c>
      <c r="I71" s="80">
        <v>0.105</v>
      </c>
      <c r="J71" s="80">
        <v>30</v>
      </c>
      <c r="K71" s="80" t="s">
        <v>294</v>
      </c>
      <c r="L71" s="83" t="s">
        <v>304</v>
      </c>
      <c r="M71" s="80">
        <v>0.152</v>
      </c>
      <c r="N71" s="80">
        <v>50</v>
      </c>
      <c r="O71" s="80" t="s">
        <v>296</v>
      </c>
      <c r="P71" s="83" t="s">
        <v>305</v>
      </c>
      <c r="Q71" s="80">
        <v>0.202</v>
      </c>
      <c r="R71" s="80">
        <v>70</v>
      </c>
      <c r="S71" s="80" t="s">
        <v>298</v>
      </c>
      <c r="T71" s="83" t="s">
        <v>306</v>
      </c>
      <c r="U71" s="80" t="s">
        <v>548</v>
      </c>
      <c r="V71" s="80">
        <v>90</v>
      </c>
      <c r="W71" s="80" t="s">
        <v>301</v>
      </c>
      <c r="X71" s="83" t="s">
        <v>308</v>
      </c>
      <c r="Y71" s="80"/>
      <c r="Z71" s="87" t="s">
        <v>549</v>
      </c>
    </row>
    <row r="72" ht="41" customHeight="1" spans="1:26">
      <c r="A72" s="88" t="s">
        <v>542</v>
      </c>
      <c r="B72" s="88" t="s">
        <v>272</v>
      </c>
      <c r="C72" s="88" t="s">
        <v>172</v>
      </c>
      <c r="D72" s="88" t="s">
        <v>15</v>
      </c>
      <c r="E72" s="81" t="s">
        <v>27</v>
      </c>
      <c r="F72" s="88" t="s">
        <v>9</v>
      </c>
      <c r="G72" s="88">
        <v>0.13</v>
      </c>
      <c r="H72" s="91">
        <v>0.949</v>
      </c>
      <c r="I72" s="88">
        <v>0.853</v>
      </c>
      <c r="J72" s="88">
        <v>30</v>
      </c>
      <c r="K72" s="88" t="s">
        <v>294</v>
      </c>
      <c r="L72" s="83" t="s">
        <v>310</v>
      </c>
      <c r="M72" s="88">
        <v>0.92</v>
      </c>
      <c r="N72" s="88">
        <v>50</v>
      </c>
      <c r="O72" s="88" t="s">
        <v>296</v>
      </c>
      <c r="P72" s="83" t="s">
        <v>311</v>
      </c>
      <c r="Q72" s="88">
        <v>0.949</v>
      </c>
      <c r="R72" s="88">
        <v>70</v>
      </c>
      <c r="S72" s="88" t="s">
        <v>298</v>
      </c>
      <c r="T72" s="83" t="s">
        <v>312</v>
      </c>
      <c r="U72" s="88" t="s">
        <v>550</v>
      </c>
      <c r="V72" s="88">
        <v>90</v>
      </c>
      <c r="W72" s="88" t="s">
        <v>301</v>
      </c>
      <c r="X72" s="83" t="s">
        <v>314</v>
      </c>
      <c r="Y72" s="88"/>
      <c r="Z72" s="87" t="s">
        <v>551</v>
      </c>
    </row>
    <row r="73" ht="41" customHeight="1" spans="1:26">
      <c r="A73" s="80" t="s">
        <v>542</v>
      </c>
      <c r="B73" s="80" t="s">
        <v>272</v>
      </c>
      <c r="C73" s="80" t="s">
        <v>172</v>
      </c>
      <c r="D73" s="80" t="s">
        <v>15</v>
      </c>
      <c r="E73" s="81" t="s">
        <v>30</v>
      </c>
      <c r="F73" s="80" t="s">
        <v>17</v>
      </c>
      <c r="G73" s="80">
        <v>0.048</v>
      </c>
      <c r="H73" s="80" t="s">
        <v>552</v>
      </c>
      <c r="I73" s="80">
        <v>47.5</v>
      </c>
      <c r="J73" s="80">
        <v>30</v>
      </c>
      <c r="K73" s="80" t="s">
        <v>294</v>
      </c>
      <c r="L73" s="83" t="s">
        <v>317</v>
      </c>
      <c r="M73" s="80">
        <v>60.3</v>
      </c>
      <c r="N73" s="80">
        <v>50</v>
      </c>
      <c r="O73" s="80" t="s">
        <v>296</v>
      </c>
      <c r="P73" s="83" t="s">
        <v>318</v>
      </c>
      <c r="Q73" s="80">
        <v>79</v>
      </c>
      <c r="R73" s="80">
        <v>70</v>
      </c>
      <c r="S73" s="80" t="s">
        <v>298</v>
      </c>
      <c r="T73" s="83" t="s">
        <v>319</v>
      </c>
      <c r="U73" s="80" t="s">
        <v>553</v>
      </c>
      <c r="V73" s="80">
        <v>90</v>
      </c>
      <c r="W73" s="80" t="s">
        <v>301</v>
      </c>
      <c r="X73" s="83" t="s">
        <v>321</v>
      </c>
      <c r="Y73" s="80"/>
      <c r="Z73" s="87" t="s">
        <v>554</v>
      </c>
    </row>
    <row r="74" ht="55" customHeight="1" spans="1:26">
      <c r="A74" s="88" t="s">
        <v>542</v>
      </c>
      <c r="B74" s="88" t="s">
        <v>272</v>
      </c>
      <c r="C74" s="88" t="s">
        <v>172</v>
      </c>
      <c r="D74" s="88" t="s">
        <v>15</v>
      </c>
      <c r="E74" s="81" t="s">
        <v>34</v>
      </c>
      <c r="F74" s="88" t="s">
        <v>17</v>
      </c>
      <c r="G74" s="88">
        <v>0.024</v>
      </c>
      <c r="H74" s="88" t="s">
        <v>461</v>
      </c>
      <c r="I74" s="88">
        <v>1</v>
      </c>
      <c r="J74" s="88">
        <v>30</v>
      </c>
      <c r="K74" s="88" t="s">
        <v>294</v>
      </c>
      <c r="L74" s="83" t="s">
        <v>324</v>
      </c>
      <c r="M74" s="88">
        <v>2</v>
      </c>
      <c r="N74" s="88">
        <v>50</v>
      </c>
      <c r="O74" s="88" t="s">
        <v>296</v>
      </c>
      <c r="P74" s="83" t="s">
        <v>325</v>
      </c>
      <c r="Q74" s="88">
        <v>3</v>
      </c>
      <c r="R74" s="88">
        <v>70</v>
      </c>
      <c r="S74" s="88" t="s">
        <v>298</v>
      </c>
      <c r="T74" s="83" t="s">
        <v>326</v>
      </c>
      <c r="U74" s="88" t="s">
        <v>327</v>
      </c>
      <c r="V74" s="88">
        <v>90</v>
      </c>
      <c r="W74" s="88" t="s">
        <v>301</v>
      </c>
      <c r="X74" s="83" t="s">
        <v>328</v>
      </c>
      <c r="Y74" s="88"/>
      <c r="Z74" s="87" t="s">
        <v>555</v>
      </c>
    </row>
    <row r="75" ht="41" customHeight="1" spans="1:26">
      <c r="A75" s="80" t="s">
        <v>542</v>
      </c>
      <c r="B75" s="80" t="s">
        <v>272</v>
      </c>
      <c r="C75" s="80" t="s">
        <v>172</v>
      </c>
      <c r="D75" s="80" t="s">
        <v>15</v>
      </c>
      <c r="E75" s="81" t="s">
        <v>38</v>
      </c>
      <c r="F75" s="80" t="s">
        <v>39</v>
      </c>
      <c r="G75" s="80">
        <v>0.067</v>
      </c>
      <c r="H75" s="80" t="s">
        <v>556</v>
      </c>
      <c r="I75" s="80">
        <v>204.8</v>
      </c>
      <c r="J75" s="80">
        <v>30</v>
      </c>
      <c r="K75" s="80" t="s">
        <v>294</v>
      </c>
      <c r="L75" s="83" t="s">
        <v>331</v>
      </c>
      <c r="M75" s="80">
        <v>260.2</v>
      </c>
      <c r="N75" s="80">
        <v>50</v>
      </c>
      <c r="O75" s="80" t="s">
        <v>296</v>
      </c>
      <c r="P75" s="83" t="s">
        <v>332</v>
      </c>
      <c r="Q75" s="80">
        <v>310.7</v>
      </c>
      <c r="R75" s="80">
        <v>70</v>
      </c>
      <c r="S75" s="80" t="s">
        <v>298</v>
      </c>
      <c r="T75" s="83" t="s">
        <v>333</v>
      </c>
      <c r="U75" s="80" t="s">
        <v>557</v>
      </c>
      <c r="V75" s="80">
        <v>90</v>
      </c>
      <c r="W75" s="80" t="s">
        <v>301</v>
      </c>
      <c r="X75" s="83" t="s">
        <v>335</v>
      </c>
      <c r="Y75" s="80"/>
      <c r="Z75" s="87" t="s">
        <v>558</v>
      </c>
    </row>
    <row r="76" ht="55" customHeight="1" spans="1:26">
      <c r="A76" s="88" t="s">
        <v>542</v>
      </c>
      <c r="B76" s="88" t="s">
        <v>272</v>
      </c>
      <c r="C76" s="88" t="s">
        <v>172</v>
      </c>
      <c r="D76" s="88" t="s">
        <v>15</v>
      </c>
      <c r="E76" s="81" t="s">
        <v>42</v>
      </c>
      <c r="F76" s="88" t="s">
        <v>9</v>
      </c>
      <c r="G76" s="88">
        <v>0.014</v>
      </c>
      <c r="H76" s="88">
        <v>1</v>
      </c>
      <c r="I76" s="88">
        <v>0.647</v>
      </c>
      <c r="J76" s="88">
        <v>30</v>
      </c>
      <c r="K76" s="88" t="s">
        <v>294</v>
      </c>
      <c r="L76" s="83" t="s">
        <v>337</v>
      </c>
      <c r="M76" s="88">
        <v>0.8235</v>
      </c>
      <c r="N76" s="88">
        <v>50</v>
      </c>
      <c r="O76" s="88" t="s">
        <v>296</v>
      </c>
      <c r="P76" s="83" t="s">
        <v>338</v>
      </c>
      <c r="Q76" s="88">
        <v>1</v>
      </c>
      <c r="R76" s="88">
        <v>70</v>
      </c>
      <c r="S76" s="88" t="s">
        <v>339</v>
      </c>
      <c r="T76" s="83" t="s">
        <v>340</v>
      </c>
      <c r="U76" s="88" t="s">
        <v>279</v>
      </c>
      <c r="V76" s="88"/>
      <c r="W76" s="88"/>
      <c r="X76" s="83" t="s">
        <v>340</v>
      </c>
      <c r="Y76" s="88" t="s">
        <v>341</v>
      </c>
      <c r="Z76" s="87" t="s">
        <v>559</v>
      </c>
    </row>
    <row r="77" ht="55" customHeight="1" spans="1:26">
      <c r="A77" s="80" t="s">
        <v>542</v>
      </c>
      <c r="B77" s="80" t="s">
        <v>272</v>
      </c>
      <c r="C77" s="80" t="s">
        <v>172</v>
      </c>
      <c r="D77" s="80" t="s">
        <v>15</v>
      </c>
      <c r="E77" s="81" t="s">
        <v>23</v>
      </c>
      <c r="F77" s="80" t="s">
        <v>24</v>
      </c>
      <c r="G77" s="80">
        <v>0.096</v>
      </c>
      <c r="H77" s="80" t="s">
        <v>560</v>
      </c>
      <c r="I77" s="80">
        <v>1.8</v>
      </c>
      <c r="J77" s="80">
        <v>30</v>
      </c>
      <c r="K77" s="80" t="s">
        <v>294</v>
      </c>
      <c r="L77" s="83" t="s">
        <v>344</v>
      </c>
      <c r="M77" s="80">
        <v>2.2</v>
      </c>
      <c r="N77" s="80">
        <v>50</v>
      </c>
      <c r="O77" s="80" t="s">
        <v>296</v>
      </c>
      <c r="P77" s="83" t="s">
        <v>345</v>
      </c>
      <c r="Q77" s="80">
        <v>3</v>
      </c>
      <c r="R77" s="80">
        <v>70</v>
      </c>
      <c r="S77" s="80" t="s">
        <v>298</v>
      </c>
      <c r="T77" s="83" t="s">
        <v>346</v>
      </c>
      <c r="U77" s="80" t="s">
        <v>327</v>
      </c>
      <c r="V77" s="80">
        <v>90</v>
      </c>
      <c r="W77" s="80" t="s">
        <v>301</v>
      </c>
      <c r="X77" s="83" t="s">
        <v>348</v>
      </c>
      <c r="Y77" s="80"/>
      <c r="Z77" s="87" t="s">
        <v>561</v>
      </c>
    </row>
    <row r="78" ht="55" customHeight="1" spans="1:26">
      <c r="A78" s="88" t="s">
        <v>542</v>
      </c>
      <c r="B78" s="88" t="s">
        <v>272</v>
      </c>
      <c r="C78" s="88" t="s">
        <v>172</v>
      </c>
      <c r="D78" s="88" t="s">
        <v>44</v>
      </c>
      <c r="E78" s="81" t="s">
        <v>45</v>
      </c>
      <c r="F78" s="88" t="s">
        <v>35</v>
      </c>
      <c r="G78" s="88">
        <v>0.035</v>
      </c>
      <c r="H78" s="88" t="s">
        <v>562</v>
      </c>
      <c r="I78" s="88">
        <v>28</v>
      </c>
      <c r="J78" s="88">
        <v>30</v>
      </c>
      <c r="K78" s="88" t="s">
        <v>294</v>
      </c>
      <c r="L78" s="83" t="s">
        <v>352</v>
      </c>
      <c r="M78" s="88">
        <v>47</v>
      </c>
      <c r="N78" s="88">
        <v>50</v>
      </c>
      <c r="O78" s="88" t="s">
        <v>296</v>
      </c>
      <c r="P78" s="83" t="s">
        <v>353</v>
      </c>
      <c r="Q78" s="88">
        <v>95</v>
      </c>
      <c r="R78" s="88">
        <v>70</v>
      </c>
      <c r="S78" s="88" t="s">
        <v>298</v>
      </c>
      <c r="T78" s="83" t="s">
        <v>354</v>
      </c>
      <c r="U78" s="88" t="s">
        <v>563</v>
      </c>
      <c r="V78" s="88">
        <v>90</v>
      </c>
      <c r="W78" s="88" t="s">
        <v>301</v>
      </c>
      <c r="X78" s="83" t="s">
        <v>356</v>
      </c>
      <c r="Y78" s="88"/>
      <c r="Z78" s="87" t="s">
        <v>564</v>
      </c>
    </row>
    <row r="79" ht="55" customHeight="1" spans="1:26">
      <c r="A79" s="80" t="s">
        <v>542</v>
      </c>
      <c r="B79" s="80" t="s">
        <v>272</v>
      </c>
      <c r="C79" s="80" t="s">
        <v>172</v>
      </c>
      <c r="D79" s="80" t="s">
        <v>44</v>
      </c>
      <c r="E79" s="81" t="s">
        <v>48</v>
      </c>
      <c r="F79" s="80" t="s">
        <v>39</v>
      </c>
      <c r="G79" s="80">
        <v>0.015</v>
      </c>
      <c r="H79" s="80" t="s">
        <v>565</v>
      </c>
      <c r="I79" s="80">
        <v>0.269</v>
      </c>
      <c r="J79" s="80">
        <v>30</v>
      </c>
      <c r="K79" s="80" t="s">
        <v>294</v>
      </c>
      <c r="L79" s="83" t="s">
        <v>359</v>
      </c>
      <c r="M79" s="80">
        <v>0.335</v>
      </c>
      <c r="N79" s="80">
        <v>50</v>
      </c>
      <c r="O79" s="80" t="s">
        <v>296</v>
      </c>
      <c r="P79" s="83" t="s">
        <v>360</v>
      </c>
      <c r="Q79" s="80">
        <v>0.502</v>
      </c>
      <c r="R79" s="80">
        <v>70</v>
      </c>
      <c r="S79" s="80" t="s">
        <v>298</v>
      </c>
      <c r="T79" s="83" t="s">
        <v>361</v>
      </c>
      <c r="U79" s="80" t="s">
        <v>566</v>
      </c>
      <c r="V79" s="80">
        <v>90</v>
      </c>
      <c r="W79" s="80" t="s">
        <v>301</v>
      </c>
      <c r="X79" s="83" t="s">
        <v>363</v>
      </c>
      <c r="Y79" s="80"/>
      <c r="Z79" s="87" t="s">
        <v>567</v>
      </c>
    </row>
    <row r="80" ht="82" customHeight="1" spans="1:26">
      <c r="A80" s="88" t="s">
        <v>542</v>
      </c>
      <c r="B80" s="88" t="s">
        <v>272</v>
      </c>
      <c r="C80" s="88" t="s">
        <v>172</v>
      </c>
      <c r="D80" s="88" t="s">
        <v>52</v>
      </c>
      <c r="E80" s="81" t="s">
        <v>190</v>
      </c>
      <c r="F80" s="88" t="s">
        <v>17</v>
      </c>
      <c r="G80" s="88">
        <v>0.06</v>
      </c>
      <c r="H80" s="88" t="s">
        <v>365</v>
      </c>
      <c r="I80" s="88">
        <v>2</v>
      </c>
      <c r="J80" s="88">
        <v>20</v>
      </c>
      <c r="K80" s="88" t="s">
        <v>366</v>
      </c>
      <c r="L80" s="83" t="s">
        <v>367</v>
      </c>
      <c r="M80" s="88">
        <v>3</v>
      </c>
      <c r="N80" s="88">
        <v>70</v>
      </c>
      <c r="O80" s="88" t="s">
        <v>298</v>
      </c>
      <c r="P80" s="83" t="s">
        <v>368</v>
      </c>
      <c r="Q80" s="88">
        <v>4</v>
      </c>
      <c r="R80" s="88">
        <v>90</v>
      </c>
      <c r="S80" s="88" t="s">
        <v>369</v>
      </c>
      <c r="T80" s="83" t="s">
        <v>370</v>
      </c>
      <c r="U80" s="88" t="s">
        <v>371</v>
      </c>
      <c r="V80" s="88">
        <v>90</v>
      </c>
      <c r="W80" s="88" t="s">
        <v>369</v>
      </c>
      <c r="X80" s="83" t="s">
        <v>372</v>
      </c>
      <c r="Y80" s="88" t="s">
        <v>373</v>
      </c>
      <c r="Z80" s="87" t="s">
        <v>568</v>
      </c>
    </row>
    <row r="81" ht="41" customHeight="1" spans="1:26">
      <c r="A81" s="80" t="s">
        <v>542</v>
      </c>
      <c r="B81" s="80" t="s">
        <v>272</v>
      </c>
      <c r="C81" s="80" t="s">
        <v>172</v>
      </c>
      <c r="D81" s="80" t="s">
        <v>56</v>
      </c>
      <c r="E81" s="81" t="s">
        <v>192</v>
      </c>
      <c r="F81" s="80" t="s">
        <v>17</v>
      </c>
      <c r="G81" s="80">
        <v>0.06</v>
      </c>
      <c r="H81" s="80" t="s">
        <v>365</v>
      </c>
      <c r="I81" s="80">
        <v>2</v>
      </c>
      <c r="J81" s="80">
        <v>20</v>
      </c>
      <c r="K81" s="80" t="s">
        <v>375</v>
      </c>
      <c r="L81" s="83" t="s">
        <v>376</v>
      </c>
      <c r="M81" s="80">
        <v>3</v>
      </c>
      <c r="N81" s="80">
        <v>50</v>
      </c>
      <c r="O81" s="80" t="s">
        <v>377</v>
      </c>
      <c r="P81" s="83" t="s">
        <v>378</v>
      </c>
      <c r="Q81" s="80">
        <v>4</v>
      </c>
      <c r="R81" s="80">
        <v>70</v>
      </c>
      <c r="S81" s="80" t="s">
        <v>379</v>
      </c>
      <c r="T81" s="83" t="s">
        <v>380</v>
      </c>
      <c r="U81" s="80" t="s">
        <v>279</v>
      </c>
      <c r="V81" s="80">
        <v>90</v>
      </c>
      <c r="W81" s="80" t="s">
        <v>381</v>
      </c>
      <c r="X81" s="83" t="s">
        <v>382</v>
      </c>
      <c r="Y81" s="80" t="s">
        <v>383</v>
      </c>
      <c r="Z81" s="87" t="s">
        <v>569</v>
      </c>
    </row>
    <row r="82" ht="55" customHeight="1" spans="1:26">
      <c r="A82" s="88" t="s">
        <v>542</v>
      </c>
      <c r="B82" s="88" t="s">
        <v>272</v>
      </c>
      <c r="C82" s="88" t="s">
        <v>193</v>
      </c>
      <c r="D82" s="88" t="s">
        <v>194</v>
      </c>
      <c r="E82" s="81" t="s">
        <v>64</v>
      </c>
      <c r="F82" s="88" t="s">
        <v>65</v>
      </c>
      <c r="G82" s="88">
        <v>0.025</v>
      </c>
      <c r="H82" s="88" t="s">
        <v>570</v>
      </c>
      <c r="I82" s="88">
        <v>1</v>
      </c>
      <c r="J82" s="88">
        <v>30</v>
      </c>
      <c r="K82" s="88" t="s">
        <v>294</v>
      </c>
      <c r="L82" s="83" t="s">
        <v>386</v>
      </c>
      <c r="M82" s="88">
        <v>2</v>
      </c>
      <c r="N82" s="88">
        <v>50</v>
      </c>
      <c r="O82" s="88" t="s">
        <v>296</v>
      </c>
      <c r="P82" s="83" t="s">
        <v>387</v>
      </c>
      <c r="Q82" s="88">
        <v>5</v>
      </c>
      <c r="R82" s="88">
        <v>70</v>
      </c>
      <c r="S82" s="88" t="s">
        <v>298</v>
      </c>
      <c r="T82" s="83" t="s">
        <v>388</v>
      </c>
      <c r="U82" s="88" t="s">
        <v>571</v>
      </c>
      <c r="V82" s="88">
        <v>90</v>
      </c>
      <c r="W82" s="88" t="s">
        <v>301</v>
      </c>
      <c r="X82" s="83" t="s">
        <v>390</v>
      </c>
      <c r="Y82" s="88"/>
      <c r="Z82" s="87" t="s">
        <v>572</v>
      </c>
    </row>
    <row r="83" ht="82" customHeight="1" spans="1:26">
      <c r="A83" s="80" t="s">
        <v>542</v>
      </c>
      <c r="B83" s="80" t="s">
        <v>272</v>
      </c>
      <c r="C83" s="80" t="s">
        <v>193</v>
      </c>
      <c r="D83" s="80" t="s">
        <v>194</v>
      </c>
      <c r="E83" s="81" t="s">
        <v>67</v>
      </c>
      <c r="F83" s="80" t="s">
        <v>65</v>
      </c>
      <c r="G83" s="80">
        <v>0.035</v>
      </c>
      <c r="H83" s="80" t="s">
        <v>573</v>
      </c>
      <c r="I83" s="80">
        <v>11</v>
      </c>
      <c r="J83" s="80">
        <v>30</v>
      </c>
      <c r="K83" s="80" t="s">
        <v>294</v>
      </c>
      <c r="L83" s="83" t="s">
        <v>393</v>
      </c>
      <c r="M83" s="80">
        <v>17</v>
      </c>
      <c r="N83" s="80">
        <v>50</v>
      </c>
      <c r="O83" s="80" t="s">
        <v>296</v>
      </c>
      <c r="P83" s="83" t="s">
        <v>394</v>
      </c>
      <c r="Q83" s="80">
        <v>29</v>
      </c>
      <c r="R83" s="80">
        <v>70</v>
      </c>
      <c r="S83" s="80" t="s">
        <v>298</v>
      </c>
      <c r="T83" s="83" t="s">
        <v>395</v>
      </c>
      <c r="U83" s="80" t="s">
        <v>574</v>
      </c>
      <c r="V83" s="80">
        <v>90</v>
      </c>
      <c r="W83" s="80" t="s">
        <v>397</v>
      </c>
      <c r="X83" s="83" t="s">
        <v>398</v>
      </c>
      <c r="Y83" s="80" t="s">
        <v>399</v>
      </c>
      <c r="Z83" s="87" t="s">
        <v>575</v>
      </c>
    </row>
    <row r="84" ht="41" customHeight="1" spans="1:26">
      <c r="A84" s="88" t="s">
        <v>542</v>
      </c>
      <c r="B84" s="88" t="s">
        <v>272</v>
      </c>
      <c r="C84" s="88" t="s">
        <v>193</v>
      </c>
      <c r="D84" s="88" t="s">
        <v>197</v>
      </c>
      <c r="E84" s="81" t="s">
        <v>60</v>
      </c>
      <c r="F84" s="88" t="s">
        <v>401</v>
      </c>
      <c r="G84" s="88">
        <v>0.02</v>
      </c>
      <c r="H84" s="88" t="s">
        <v>576</v>
      </c>
      <c r="I84" s="88">
        <v>0.6</v>
      </c>
      <c r="J84" s="88">
        <v>30</v>
      </c>
      <c r="K84" s="88" t="s">
        <v>294</v>
      </c>
      <c r="L84" s="83" t="s">
        <v>403</v>
      </c>
      <c r="M84" s="88">
        <v>0.75</v>
      </c>
      <c r="N84" s="88">
        <v>50</v>
      </c>
      <c r="O84" s="88" t="s">
        <v>296</v>
      </c>
      <c r="P84" s="83" t="s">
        <v>404</v>
      </c>
      <c r="Q84" s="88">
        <v>0.94</v>
      </c>
      <c r="R84" s="88">
        <v>70</v>
      </c>
      <c r="S84" s="88" t="s">
        <v>298</v>
      </c>
      <c r="T84" s="83" t="s">
        <v>405</v>
      </c>
      <c r="U84" s="88" t="s">
        <v>577</v>
      </c>
      <c r="V84" s="88">
        <v>90</v>
      </c>
      <c r="W84" s="88" t="s">
        <v>301</v>
      </c>
      <c r="X84" s="83" t="s">
        <v>407</v>
      </c>
      <c r="Y84" s="88"/>
      <c r="Z84" s="87" t="s">
        <v>578</v>
      </c>
    </row>
    <row r="85" ht="68" customHeight="1" spans="1:26">
      <c r="A85" s="80" t="s">
        <v>542</v>
      </c>
      <c r="B85" s="80" t="s">
        <v>272</v>
      </c>
      <c r="C85" s="80" t="s">
        <v>193</v>
      </c>
      <c r="D85" s="80" t="s">
        <v>70</v>
      </c>
      <c r="E85" s="81" t="s">
        <v>70</v>
      </c>
      <c r="F85" s="80" t="s">
        <v>409</v>
      </c>
      <c r="G85" s="80">
        <v>0.02</v>
      </c>
      <c r="H85" s="80" t="s">
        <v>410</v>
      </c>
      <c r="I85" s="80" t="s">
        <v>411</v>
      </c>
      <c r="J85" s="80">
        <v>0</v>
      </c>
      <c r="K85" s="80" t="s">
        <v>412</v>
      </c>
      <c r="L85" s="83" t="s">
        <v>413</v>
      </c>
      <c r="M85" s="80" t="s">
        <v>206</v>
      </c>
      <c r="N85" s="80">
        <v>30</v>
      </c>
      <c r="O85" s="80" t="s">
        <v>414</v>
      </c>
      <c r="P85" s="83" t="s">
        <v>415</v>
      </c>
      <c r="Q85" s="80" t="s">
        <v>416</v>
      </c>
      <c r="R85" s="80">
        <v>70</v>
      </c>
      <c r="S85" s="80" t="s">
        <v>417</v>
      </c>
      <c r="T85" s="83" t="s">
        <v>418</v>
      </c>
      <c r="U85" s="80" t="s">
        <v>201</v>
      </c>
      <c r="V85" s="80">
        <v>90</v>
      </c>
      <c r="W85" s="80" t="s">
        <v>488</v>
      </c>
      <c r="X85" s="83" t="s">
        <v>420</v>
      </c>
      <c r="Y85" s="80" t="s">
        <v>421</v>
      </c>
      <c r="Z85" s="87" t="s">
        <v>579</v>
      </c>
    </row>
    <row r="86" ht="41" customHeight="1" spans="1:26">
      <c r="A86" s="88" t="s">
        <v>542</v>
      </c>
      <c r="B86" s="88" t="s">
        <v>272</v>
      </c>
      <c r="C86" s="88" t="s">
        <v>203</v>
      </c>
      <c r="D86" s="88" t="s">
        <v>279</v>
      </c>
      <c r="E86" s="81" t="s">
        <v>75</v>
      </c>
      <c r="F86" s="88" t="s">
        <v>423</v>
      </c>
      <c r="G86" s="88">
        <v>0.015</v>
      </c>
      <c r="H86" s="88" t="s">
        <v>424</v>
      </c>
      <c r="I86" s="88" t="s">
        <v>201</v>
      </c>
      <c r="J86" s="88">
        <v>20</v>
      </c>
      <c r="K86" s="88" t="s">
        <v>425</v>
      </c>
      <c r="L86" s="83" t="s">
        <v>426</v>
      </c>
      <c r="M86" s="88" t="s">
        <v>416</v>
      </c>
      <c r="N86" s="88">
        <v>60</v>
      </c>
      <c r="O86" s="88" t="s">
        <v>427</v>
      </c>
      <c r="P86" s="83" t="s">
        <v>428</v>
      </c>
      <c r="Q86" s="88" t="s">
        <v>206</v>
      </c>
      <c r="R86" s="88">
        <v>90</v>
      </c>
      <c r="S86" s="88" t="s">
        <v>429</v>
      </c>
      <c r="T86" s="83" t="s">
        <v>430</v>
      </c>
      <c r="U86" s="88" t="s">
        <v>279</v>
      </c>
      <c r="V86" s="88"/>
      <c r="W86" s="88"/>
      <c r="X86" s="85" t="s">
        <v>431</v>
      </c>
      <c r="Y86" s="88"/>
      <c r="Z86" s="87" t="s">
        <v>580</v>
      </c>
    </row>
    <row r="87" ht="41" customHeight="1" spans="1:26">
      <c r="A87" s="80" t="s">
        <v>542</v>
      </c>
      <c r="B87" s="80" t="s">
        <v>272</v>
      </c>
      <c r="C87" s="80" t="s">
        <v>203</v>
      </c>
      <c r="D87" s="80" t="s">
        <v>279</v>
      </c>
      <c r="E87" s="81" t="s">
        <v>78</v>
      </c>
      <c r="F87" s="80" t="s">
        <v>423</v>
      </c>
      <c r="G87" s="80">
        <v>0.02</v>
      </c>
      <c r="H87" s="80" t="s">
        <v>410</v>
      </c>
      <c r="I87" s="80" t="s">
        <v>201</v>
      </c>
      <c r="J87" s="80">
        <v>20</v>
      </c>
      <c r="K87" s="80" t="s">
        <v>433</v>
      </c>
      <c r="L87" s="83" t="s">
        <v>434</v>
      </c>
      <c r="M87" s="80" t="s">
        <v>416</v>
      </c>
      <c r="N87" s="80">
        <v>60</v>
      </c>
      <c r="O87" s="80" t="s">
        <v>435</v>
      </c>
      <c r="P87" s="83" t="s">
        <v>436</v>
      </c>
      <c r="Q87" s="80" t="s">
        <v>206</v>
      </c>
      <c r="R87" s="80">
        <v>90</v>
      </c>
      <c r="S87" s="80" t="s">
        <v>437</v>
      </c>
      <c r="T87" s="83" t="s">
        <v>438</v>
      </c>
      <c r="U87" s="80" t="s">
        <v>279</v>
      </c>
      <c r="V87" s="80"/>
      <c r="W87" s="80"/>
      <c r="X87" s="83" t="s">
        <v>439</v>
      </c>
      <c r="Y87" s="80"/>
      <c r="Z87" s="87" t="s">
        <v>581</v>
      </c>
    </row>
    <row r="88" ht="41" customHeight="1" spans="1:26">
      <c r="A88" s="88" t="s">
        <v>542</v>
      </c>
      <c r="B88" s="88" t="s">
        <v>272</v>
      </c>
      <c r="C88" s="88" t="s">
        <v>203</v>
      </c>
      <c r="D88" s="88" t="s">
        <v>279</v>
      </c>
      <c r="E88" s="81" t="s">
        <v>80</v>
      </c>
      <c r="F88" s="88" t="s">
        <v>423</v>
      </c>
      <c r="G88" s="88">
        <v>0.015</v>
      </c>
      <c r="H88" s="88" t="s">
        <v>424</v>
      </c>
      <c r="I88" s="88" t="s">
        <v>201</v>
      </c>
      <c r="J88" s="88">
        <v>20</v>
      </c>
      <c r="K88" s="88" t="s">
        <v>441</v>
      </c>
      <c r="L88" s="83" t="s">
        <v>442</v>
      </c>
      <c r="M88" s="88" t="s">
        <v>416</v>
      </c>
      <c r="N88" s="88">
        <v>60</v>
      </c>
      <c r="O88" s="88" t="s">
        <v>443</v>
      </c>
      <c r="P88" s="83" t="s">
        <v>444</v>
      </c>
      <c r="Q88" s="88" t="s">
        <v>206</v>
      </c>
      <c r="R88" s="88">
        <v>90</v>
      </c>
      <c r="S88" s="88" t="s">
        <v>445</v>
      </c>
      <c r="T88" s="83" t="s">
        <v>446</v>
      </c>
      <c r="U88" s="88" t="s">
        <v>279</v>
      </c>
      <c r="V88" s="88"/>
      <c r="W88" s="88"/>
      <c r="X88" s="83" t="s">
        <v>447</v>
      </c>
      <c r="Y88" s="88"/>
      <c r="Z88" s="87" t="s">
        <v>582</v>
      </c>
    </row>
    <row r="89" ht="41" customHeight="1" spans="1:26">
      <c r="A89" s="80" t="s">
        <v>542</v>
      </c>
      <c r="B89" s="80" t="s">
        <v>159</v>
      </c>
      <c r="C89" s="80" t="s">
        <v>172</v>
      </c>
      <c r="D89" s="80" t="s">
        <v>173</v>
      </c>
      <c r="E89" s="81" t="s">
        <v>8</v>
      </c>
      <c r="F89" s="80" t="s">
        <v>9</v>
      </c>
      <c r="G89" s="80">
        <v>0.1</v>
      </c>
      <c r="H89" s="80">
        <v>1</v>
      </c>
      <c r="I89" s="80">
        <v>0.849999999999999</v>
      </c>
      <c r="J89" s="80">
        <v>0.1</v>
      </c>
      <c r="K89" s="80" t="s">
        <v>273</v>
      </c>
      <c r="L89" s="83" t="s">
        <v>274</v>
      </c>
      <c r="M89" s="80">
        <v>0.899999999999999</v>
      </c>
      <c r="N89" s="80">
        <v>0.11</v>
      </c>
      <c r="O89" s="80" t="s">
        <v>275</v>
      </c>
      <c r="P89" s="83" t="s">
        <v>276</v>
      </c>
      <c r="Q89" s="80">
        <v>0.99999999999999</v>
      </c>
      <c r="R89" s="80">
        <v>0.12</v>
      </c>
      <c r="S89" s="80" t="s">
        <v>277</v>
      </c>
      <c r="T89" s="83" t="s">
        <v>278</v>
      </c>
      <c r="U89" s="80" t="s">
        <v>279</v>
      </c>
      <c r="V89" s="80">
        <v>0.144</v>
      </c>
      <c r="W89" s="80" t="s">
        <v>280</v>
      </c>
      <c r="X89" s="85" t="s">
        <v>281</v>
      </c>
      <c r="Y89" s="80" t="s">
        <v>282</v>
      </c>
      <c r="Z89" s="87" t="s">
        <v>583</v>
      </c>
    </row>
    <row r="90" ht="41" customHeight="1" spans="1:26">
      <c r="A90" s="88" t="s">
        <v>542</v>
      </c>
      <c r="B90" s="88" t="s">
        <v>159</v>
      </c>
      <c r="C90" s="88" t="s">
        <v>172</v>
      </c>
      <c r="D90" s="88" t="s">
        <v>173</v>
      </c>
      <c r="E90" s="81" t="s">
        <v>12</v>
      </c>
      <c r="F90" s="88" t="s">
        <v>9</v>
      </c>
      <c r="G90" s="88">
        <v>0.1</v>
      </c>
      <c r="H90" s="88">
        <v>0.158</v>
      </c>
      <c r="I90" s="88">
        <v>-1e-17</v>
      </c>
      <c r="J90" s="88">
        <v>0</v>
      </c>
      <c r="K90" s="88" t="s">
        <v>284</v>
      </c>
      <c r="L90" s="83" t="s">
        <v>285</v>
      </c>
      <c r="M90" s="88">
        <v>0.0274</v>
      </c>
      <c r="N90" s="88">
        <v>0.04</v>
      </c>
      <c r="O90" s="88" t="s">
        <v>286</v>
      </c>
      <c r="P90" s="83" t="s">
        <v>287</v>
      </c>
      <c r="Q90" s="88">
        <v>0.1582</v>
      </c>
      <c r="R90" s="88">
        <v>0.07</v>
      </c>
      <c r="S90" s="88" t="s">
        <v>288</v>
      </c>
      <c r="T90" s="83" t="s">
        <v>289</v>
      </c>
      <c r="U90" s="88" t="s">
        <v>279</v>
      </c>
      <c r="V90" s="88">
        <v>0.1</v>
      </c>
      <c r="W90" s="88" t="s">
        <v>290</v>
      </c>
      <c r="X90" s="83" t="s">
        <v>291</v>
      </c>
      <c r="Y90" s="88"/>
      <c r="Z90" s="87" t="s">
        <v>584</v>
      </c>
    </row>
    <row r="91" ht="41" customHeight="1" spans="1:26">
      <c r="A91" s="80" t="s">
        <v>542</v>
      </c>
      <c r="B91" s="80" t="s">
        <v>159</v>
      </c>
      <c r="C91" s="80" t="s">
        <v>172</v>
      </c>
      <c r="D91" s="80" t="s">
        <v>15</v>
      </c>
      <c r="E91" s="81" t="s">
        <v>16</v>
      </c>
      <c r="F91" s="80" t="s">
        <v>17</v>
      </c>
      <c r="G91" s="80">
        <v>0.0405</v>
      </c>
      <c r="H91" s="80" t="s">
        <v>585</v>
      </c>
      <c r="I91" s="80">
        <v>321</v>
      </c>
      <c r="J91" s="80">
        <v>30</v>
      </c>
      <c r="K91" s="80" t="s">
        <v>294</v>
      </c>
      <c r="L91" s="83" t="s">
        <v>295</v>
      </c>
      <c r="M91" s="80">
        <v>369</v>
      </c>
      <c r="N91" s="80">
        <v>50</v>
      </c>
      <c r="O91" s="80" t="s">
        <v>296</v>
      </c>
      <c r="P91" s="83" t="s">
        <v>297</v>
      </c>
      <c r="Q91" s="80">
        <v>489</v>
      </c>
      <c r="R91" s="80">
        <v>70</v>
      </c>
      <c r="S91" s="80" t="s">
        <v>298</v>
      </c>
      <c r="T91" s="83" t="s">
        <v>299</v>
      </c>
      <c r="U91" s="80" t="s">
        <v>586</v>
      </c>
      <c r="V91" s="80">
        <v>90</v>
      </c>
      <c r="W91" s="80" t="s">
        <v>301</v>
      </c>
      <c r="X91" s="83" t="s">
        <v>302</v>
      </c>
      <c r="Y91" s="80"/>
      <c r="Z91" s="87" t="s">
        <v>587</v>
      </c>
    </row>
    <row r="92" ht="68" customHeight="1" spans="1:26">
      <c r="A92" s="88" t="s">
        <v>542</v>
      </c>
      <c r="B92" s="88" t="s">
        <v>159</v>
      </c>
      <c r="C92" s="88" t="s">
        <v>172</v>
      </c>
      <c r="D92" s="88" t="s">
        <v>15</v>
      </c>
      <c r="E92" s="81" t="s">
        <v>229</v>
      </c>
      <c r="F92" s="88" t="s">
        <v>9</v>
      </c>
      <c r="G92" s="88">
        <v>0.0405</v>
      </c>
      <c r="H92" s="88">
        <v>0.234</v>
      </c>
      <c r="I92" s="88">
        <v>0.103</v>
      </c>
      <c r="J92" s="88">
        <v>30</v>
      </c>
      <c r="K92" s="88" t="s">
        <v>294</v>
      </c>
      <c r="L92" s="83" t="s">
        <v>304</v>
      </c>
      <c r="M92" s="88">
        <v>0.168</v>
      </c>
      <c r="N92" s="88">
        <v>50</v>
      </c>
      <c r="O92" s="88" t="s">
        <v>296</v>
      </c>
      <c r="P92" s="83" t="s">
        <v>305</v>
      </c>
      <c r="Q92" s="88">
        <v>0.234</v>
      </c>
      <c r="R92" s="88">
        <v>70</v>
      </c>
      <c r="S92" s="88" t="s">
        <v>298</v>
      </c>
      <c r="T92" s="83" t="s">
        <v>306</v>
      </c>
      <c r="U92" s="88" t="s">
        <v>588</v>
      </c>
      <c r="V92" s="88">
        <v>90</v>
      </c>
      <c r="W92" s="88" t="s">
        <v>301</v>
      </c>
      <c r="X92" s="83" t="s">
        <v>308</v>
      </c>
      <c r="Y92" s="88"/>
      <c r="Z92" s="87" t="s">
        <v>589</v>
      </c>
    </row>
    <row r="93" ht="41" customHeight="1" spans="1:26">
      <c r="A93" s="80" t="s">
        <v>542</v>
      </c>
      <c r="B93" s="80" t="s">
        <v>159</v>
      </c>
      <c r="C93" s="80" t="s">
        <v>172</v>
      </c>
      <c r="D93" s="80" t="s">
        <v>15</v>
      </c>
      <c r="E93" s="81" t="s">
        <v>27</v>
      </c>
      <c r="F93" s="80" t="s">
        <v>9</v>
      </c>
      <c r="G93" s="80">
        <v>0.09</v>
      </c>
      <c r="H93" s="80">
        <v>0.955</v>
      </c>
      <c r="I93" s="80">
        <v>0.843</v>
      </c>
      <c r="J93" s="80">
        <v>30</v>
      </c>
      <c r="K93" s="80" t="s">
        <v>294</v>
      </c>
      <c r="L93" s="83" t="s">
        <v>310</v>
      </c>
      <c r="M93" s="80">
        <v>0.923</v>
      </c>
      <c r="N93" s="80">
        <v>50</v>
      </c>
      <c r="O93" s="80" t="s">
        <v>296</v>
      </c>
      <c r="P93" s="83" t="s">
        <v>311</v>
      </c>
      <c r="Q93" s="80">
        <v>0.955</v>
      </c>
      <c r="R93" s="80">
        <v>70</v>
      </c>
      <c r="S93" s="80" t="s">
        <v>298</v>
      </c>
      <c r="T93" s="83" t="s">
        <v>312</v>
      </c>
      <c r="U93" s="80" t="s">
        <v>590</v>
      </c>
      <c r="V93" s="80">
        <v>90</v>
      </c>
      <c r="W93" s="80" t="s">
        <v>301</v>
      </c>
      <c r="X93" s="83" t="s">
        <v>314</v>
      </c>
      <c r="Y93" s="80"/>
      <c r="Z93" s="87" t="s">
        <v>591</v>
      </c>
    </row>
    <row r="94" ht="41" customHeight="1" spans="1:26">
      <c r="A94" s="88" t="s">
        <v>542</v>
      </c>
      <c r="B94" s="88" t="s">
        <v>159</v>
      </c>
      <c r="C94" s="88" t="s">
        <v>172</v>
      </c>
      <c r="D94" s="88" t="s">
        <v>15</v>
      </c>
      <c r="E94" s="81" t="s">
        <v>30</v>
      </c>
      <c r="F94" s="88" t="s">
        <v>17</v>
      </c>
      <c r="G94" s="88">
        <v>0.045</v>
      </c>
      <c r="H94" s="88" t="s">
        <v>592</v>
      </c>
      <c r="I94" s="88">
        <v>51.6</v>
      </c>
      <c r="J94" s="88">
        <v>30</v>
      </c>
      <c r="K94" s="88" t="s">
        <v>294</v>
      </c>
      <c r="L94" s="83" t="s">
        <v>317</v>
      </c>
      <c r="M94" s="88">
        <v>62.6</v>
      </c>
      <c r="N94" s="88">
        <v>50</v>
      </c>
      <c r="O94" s="88" t="s">
        <v>296</v>
      </c>
      <c r="P94" s="83" t="s">
        <v>318</v>
      </c>
      <c r="Q94" s="88">
        <v>80.3</v>
      </c>
      <c r="R94" s="88">
        <v>70</v>
      </c>
      <c r="S94" s="88" t="s">
        <v>298</v>
      </c>
      <c r="T94" s="83" t="s">
        <v>319</v>
      </c>
      <c r="U94" s="88" t="s">
        <v>593</v>
      </c>
      <c r="V94" s="88">
        <v>90</v>
      </c>
      <c r="W94" s="88" t="s">
        <v>301</v>
      </c>
      <c r="X94" s="83" t="s">
        <v>321</v>
      </c>
      <c r="Y94" s="88"/>
      <c r="Z94" s="87" t="s">
        <v>594</v>
      </c>
    </row>
    <row r="95" ht="55" customHeight="1" spans="1:26">
      <c r="A95" s="80" t="s">
        <v>542</v>
      </c>
      <c r="B95" s="80" t="s">
        <v>159</v>
      </c>
      <c r="C95" s="80" t="s">
        <v>172</v>
      </c>
      <c r="D95" s="80" t="s">
        <v>15</v>
      </c>
      <c r="E95" s="81" t="s">
        <v>34</v>
      </c>
      <c r="F95" s="80" t="s">
        <v>17</v>
      </c>
      <c r="G95" s="80">
        <v>0.0225</v>
      </c>
      <c r="H95" s="80" t="s">
        <v>506</v>
      </c>
      <c r="I95" s="80">
        <v>2</v>
      </c>
      <c r="J95" s="80">
        <v>30</v>
      </c>
      <c r="K95" s="80" t="s">
        <v>294</v>
      </c>
      <c r="L95" s="83" t="s">
        <v>324</v>
      </c>
      <c r="M95" s="80">
        <v>3</v>
      </c>
      <c r="N95" s="80">
        <v>50</v>
      </c>
      <c r="O95" s="80" t="s">
        <v>296</v>
      </c>
      <c r="P95" s="83" t="s">
        <v>325</v>
      </c>
      <c r="Q95" s="80">
        <v>4</v>
      </c>
      <c r="R95" s="80">
        <v>70</v>
      </c>
      <c r="S95" s="80" t="s">
        <v>298</v>
      </c>
      <c r="T95" s="83" t="s">
        <v>326</v>
      </c>
      <c r="U95" s="80" t="s">
        <v>389</v>
      </c>
      <c r="V95" s="80">
        <v>90</v>
      </c>
      <c r="W95" s="80" t="s">
        <v>301</v>
      </c>
      <c r="X95" s="83" t="s">
        <v>328</v>
      </c>
      <c r="Y95" s="80"/>
      <c r="Z95" s="87" t="s">
        <v>595</v>
      </c>
    </row>
    <row r="96" ht="41" customHeight="1" spans="1:26">
      <c r="A96" s="88" t="s">
        <v>542</v>
      </c>
      <c r="B96" s="88" t="s">
        <v>159</v>
      </c>
      <c r="C96" s="88" t="s">
        <v>172</v>
      </c>
      <c r="D96" s="88" t="s">
        <v>15</v>
      </c>
      <c r="E96" s="81" t="s">
        <v>38</v>
      </c>
      <c r="F96" s="88" t="s">
        <v>39</v>
      </c>
      <c r="G96" s="88">
        <v>0.09</v>
      </c>
      <c r="H96" s="88" t="s">
        <v>596</v>
      </c>
      <c r="I96" s="88">
        <v>291.8</v>
      </c>
      <c r="J96" s="88">
        <v>30</v>
      </c>
      <c r="K96" s="88" t="s">
        <v>294</v>
      </c>
      <c r="L96" s="83" t="s">
        <v>331</v>
      </c>
      <c r="M96" s="88">
        <v>350.8</v>
      </c>
      <c r="N96" s="88">
        <v>50</v>
      </c>
      <c r="O96" s="88" t="s">
        <v>296</v>
      </c>
      <c r="P96" s="83" t="s">
        <v>332</v>
      </c>
      <c r="Q96" s="88">
        <v>478.2</v>
      </c>
      <c r="R96" s="88">
        <v>70</v>
      </c>
      <c r="S96" s="88" t="s">
        <v>298</v>
      </c>
      <c r="T96" s="83" t="s">
        <v>333</v>
      </c>
      <c r="U96" s="88" t="s">
        <v>597</v>
      </c>
      <c r="V96" s="88">
        <v>90</v>
      </c>
      <c r="W96" s="88" t="s">
        <v>301</v>
      </c>
      <c r="X96" s="83" t="s">
        <v>335</v>
      </c>
      <c r="Y96" s="88"/>
      <c r="Z96" s="87" t="s">
        <v>598</v>
      </c>
    </row>
    <row r="97" ht="55" customHeight="1" spans="1:26">
      <c r="A97" s="80" t="s">
        <v>542</v>
      </c>
      <c r="B97" s="80" t="s">
        <v>159</v>
      </c>
      <c r="C97" s="80" t="s">
        <v>172</v>
      </c>
      <c r="D97" s="80" t="s">
        <v>15</v>
      </c>
      <c r="E97" s="81" t="s">
        <v>42</v>
      </c>
      <c r="F97" s="80" t="s">
        <v>9</v>
      </c>
      <c r="G97" s="80">
        <v>0.009</v>
      </c>
      <c r="H97" s="80">
        <v>1</v>
      </c>
      <c r="I97" s="80">
        <v>0.778</v>
      </c>
      <c r="J97" s="80">
        <v>30</v>
      </c>
      <c r="K97" s="80" t="s">
        <v>294</v>
      </c>
      <c r="L97" s="83" t="s">
        <v>337</v>
      </c>
      <c r="M97" s="80">
        <v>0.889</v>
      </c>
      <c r="N97" s="80">
        <v>50</v>
      </c>
      <c r="O97" s="80" t="s">
        <v>296</v>
      </c>
      <c r="P97" s="83" t="s">
        <v>338</v>
      </c>
      <c r="Q97" s="80">
        <v>1</v>
      </c>
      <c r="R97" s="80">
        <v>70</v>
      </c>
      <c r="S97" s="80" t="s">
        <v>339</v>
      </c>
      <c r="T97" s="83" t="s">
        <v>340</v>
      </c>
      <c r="U97" s="80" t="s">
        <v>279</v>
      </c>
      <c r="V97" s="80"/>
      <c r="W97" s="80"/>
      <c r="X97" s="83" t="s">
        <v>340</v>
      </c>
      <c r="Y97" s="80" t="s">
        <v>341</v>
      </c>
      <c r="Z97" s="87" t="s">
        <v>599</v>
      </c>
    </row>
    <row r="98" ht="55" customHeight="1" spans="1:26">
      <c r="A98" s="88" t="s">
        <v>542</v>
      </c>
      <c r="B98" s="88" t="s">
        <v>159</v>
      </c>
      <c r="C98" s="88" t="s">
        <v>172</v>
      </c>
      <c r="D98" s="88" t="s">
        <v>15</v>
      </c>
      <c r="E98" s="81" t="s">
        <v>23</v>
      </c>
      <c r="F98" s="88" t="s">
        <v>24</v>
      </c>
      <c r="G98" s="88">
        <v>0.1125</v>
      </c>
      <c r="H98" s="88" t="s">
        <v>600</v>
      </c>
      <c r="I98" s="88">
        <v>2.5</v>
      </c>
      <c r="J98" s="88">
        <v>30</v>
      </c>
      <c r="K98" s="88" t="s">
        <v>294</v>
      </c>
      <c r="L98" s="83" t="s">
        <v>344</v>
      </c>
      <c r="M98" s="88">
        <v>3.1</v>
      </c>
      <c r="N98" s="88">
        <v>50</v>
      </c>
      <c r="O98" s="88" t="s">
        <v>296</v>
      </c>
      <c r="P98" s="83" t="s">
        <v>345</v>
      </c>
      <c r="Q98" s="88">
        <v>3.9</v>
      </c>
      <c r="R98" s="88">
        <v>70</v>
      </c>
      <c r="S98" s="88" t="s">
        <v>298</v>
      </c>
      <c r="T98" s="83" t="s">
        <v>346</v>
      </c>
      <c r="U98" s="88" t="s">
        <v>601</v>
      </c>
      <c r="V98" s="88">
        <v>90</v>
      </c>
      <c r="W98" s="88" t="s">
        <v>301</v>
      </c>
      <c r="X98" s="83" t="s">
        <v>348</v>
      </c>
      <c r="Y98" s="88"/>
      <c r="Z98" s="87" t="s">
        <v>602</v>
      </c>
    </row>
    <row r="99" ht="55" customHeight="1" spans="1:26">
      <c r="A99" s="80" t="s">
        <v>542</v>
      </c>
      <c r="B99" s="80" t="s">
        <v>159</v>
      </c>
      <c r="C99" s="80" t="s">
        <v>172</v>
      </c>
      <c r="D99" s="80" t="s">
        <v>44</v>
      </c>
      <c r="E99" s="81" t="s">
        <v>45</v>
      </c>
      <c r="F99" s="80" t="s">
        <v>35</v>
      </c>
      <c r="G99" s="80">
        <v>0.025</v>
      </c>
      <c r="H99" s="80" t="s">
        <v>603</v>
      </c>
      <c r="I99" s="80">
        <v>29</v>
      </c>
      <c r="J99" s="80">
        <v>30</v>
      </c>
      <c r="K99" s="80" t="s">
        <v>294</v>
      </c>
      <c r="L99" s="83" t="s">
        <v>352</v>
      </c>
      <c r="M99" s="80">
        <v>74</v>
      </c>
      <c r="N99" s="80">
        <v>50</v>
      </c>
      <c r="O99" s="80" t="s">
        <v>296</v>
      </c>
      <c r="P99" s="83" t="s">
        <v>353</v>
      </c>
      <c r="Q99" s="80">
        <v>126</v>
      </c>
      <c r="R99" s="80">
        <v>70</v>
      </c>
      <c r="S99" s="80" t="s">
        <v>298</v>
      </c>
      <c r="T99" s="83" t="s">
        <v>354</v>
      </c>
      <c r="U99" s="80" t="s">
        <v>604</v>
      </c>
      <c r="V99" s="80">
        <v>90</v>
      </c>
      <c r="W99" s="80" t="s">
        <v>301</v>
      </c>
      <c r="X99" s="83" t="s">
        <v>356</v>
      </c>
      <c r="Y99" s="80"/>
      <c r="Z99" s="87" t="s">
        <v>605</v>
      </c>
    </row>
    <row r="100" ht="55" customHeight="1" spans="1:26">
      <c r="A100" s="88" t="s">
        <v>542</v>
      </c>
      <c r="B100" s="88" t="s">
        <v>159</v>
      </c>
      <c r="C100" s="88" t="s">
        <v>172</v>
      </c>
      <c r="D100" s="88" t="s">
        <v>44</v>
      </c>
      <c r="E100" s="81" t="s">
        <v>48</v>
      </c>
      <c r="F100" s="88" t="s">
        <v>39</v>
      </c>
      <c r="G100" s="88">
        <v>0.025</v>
      </c>
      <c r="H100" s="88" t="s">
        <v>606</v>
      </c>
      <c r="I100" s="88">
        <v>0.341</v>
      </c>
      <c r="J100" s="88">
        <v>30</v>
      </c>
      <c r="K100" s="88" t="s">
        <v>294</v>
      </c>
      <c r="L100" s="83" t="s">
        <v>359</v>
      </c>
      <c r="M100" s="88">
        <v>0.52</v>
      </c>
      <c r="N100" s="88">
        <v>50</v>
      </c>
      <c r="O100" s="88" t="s">
        <v>296</v>
      </c>
      <c r="P100" s="83" t="s">
        <v>360</v>
      </c>
      <c r="Q100" s="88">
        <v>0.65</v>
      </c>
      <c r="R100" s="88">
        <v>70</v>
      </c>
      <c r="S100" s="88" t="s">
        <v>298</v>
      </c>
      <c r="T100" s="83" t="s">
        <v>361</v>
      </c>
      <c r="U100" s="88" t="s">
        <v>607</v>
      </c>
      <c r="V100" s="88">
        <v>90</v>
      </c>
      <c r="W100" s="88" t="s">
        <v>301</v>
      </c>
      <c r="X100" s="83" t="s">
        <v>363</v>
      </c>
      <c r="Y100" s="88"/>
      <c r="Z100" s="87" t="s">
        <v>608</v>
      </c>
    </row>
    <row r="101" ht="82" customHeight="1" spans="1:26">
      <c r="A101" s="80" t="s">
        <v>542</v>
      </c>
      <c r="B101" s="80" t="s">
        <v>159</v>
      </c>
      <c r="C101" s="80" t="s">
        <v>172</v>
      </c>
      <c r="D101" s="80" t="s">
        <v>52</v>
      </c>
      <c r="E101" s="81" t="s">
        <v>190</v>
      </c>
      <c r="F101" s="80" t="s">
        <v>17</v>
      </c>
      <c r="G101" s="80">
        <v>0.06</v>
      </c>
      <c r="H101" s="80" t="s">
        <v>365</v>
      </c>
      <c r="I101" s="80">
        <v>2</v>
      </c>
      <c r="J101" s="80">
        <v>20</v>
      </c>
      <c r="K101" s="80" t="s">
        <v>366</v>
      </c>
      <c r="L101" s="83" t="s">
        <v>367</v>
      </c>
      <c r="M101" s="80">
        <v>3</v>
      </c>
      <c r="N101" s="80">
        <v>70</v>
      </c>
      <c r="O101" s="80" t="s">
        <v>298</v>
      </c>
      <c r="P101" s="83" t="s">
        <v>368</v>
      </c>
      <c r="Q101" s="80">
        <v>4</v>
      </c>
      <c r="R101" s="80">
        <v>90</v>
      </c>
      <c r="S101" s="80" t="s">
        <v>369</v>
      </c>
      <c r="T101" s="83" t="s">
        <v>370</v>
      </c>
      <c r="U101" s="80" t="s">
        <v>371</v>
      </c>
      <c r="V101" s="80">
        <v>90</v>
      </c>
      <c r="W101" s="80" t="s">
        <v>369</v>
      </c>
      <c r="X101" s="83" t="s">
        <v>372</v>
      </c>
      <c r="Y101" s="80" t="s">
        <v>373</v>
      </c>
      <c r="Z101" s="87" t="s">
        <v>609</v>
      </c>
    </row>
    <row r="102" ht="41" customHeight="1" spans="1:26">
      <c r="A102" s="88" t="s">
        <v>542</v>
      </c>
      <c r="B102" s="88" t="s">
        <v>159</v>
      </c>
      <c r="C102" s="88" t="s">
        <v>172</v>
      </c>
      <c r="D102" s="88" t="s">
        <v>56</v>
      </c>
      <c r="E102" s="81" t="s">
        <v>192</v>
      </c>
      <c r="F102" s="88" t="s">
        <v>17</v>
      </c>
      <c r="G102" s="88">
        <v>0.06</v>
      </c>
      <c r="H102" s="88" t="s">
        <v>522</v>
      </c>
      <c r="I102" s="88">
        <v>2</v>
      </c>
      <c r="J102" s="88">
        <v>20</v>
      </c>
      <c r="K102" s="88" t="s">
        <v>375</v>
      </c>
      <c r="L102" s="83" t="s">
        <v>376</v>
      </c>
      <c r="M102" s="88">
        <v>3</v>
      </c>
      <c r="N102" s="88">
        <v>50</v>
      </c>
      <c r="O102" s="88" t="s">
        <v>377</v>
      </c>
      <c r="P102" s="83" t="s">
        <v>378</v>
      </c>
      <c r="Q102" s="88">
        <v>4</v>
      </c>
      <c r="R102" s="88">
        <v>70</v>
      </c>
      <c r="S102" s="88" t="s">
        <v>379</v>
      </c>
      <c r="T102" s="83" t="s">
        <v>380</v>
      </c>
      <c r="U102" s="88" t="s">
        <v>279</v>
      </c>
      <c r="V102" s="88">
        <v>90</v>
      </c>
      <c r="W102" s="88" t="s">
        <v>381</v>
      </c>
      <c r="X102" s="83" t="s">
        <v>382</v>
      </c>
      <c r="Y102" s="88" t="s">
        <v>383</v>
      </c>
      <c r="Z102" s="87" t="s">
        <v>610</v>
      </c>
    </row>
    <row r="103" ht="55" customHeight="1" spans="1:26">
      <c r="A103" s="80" t="s">
        <v>542</v>
      </c>
      <c r="B103" s="80" t="s">
        <v>159</v>
      </c>
      <c r="C103" s="80" t="s">
        <v>193</v>
      </c>
      <c r="D103" s="80" t="s">
        <v>194</v>
      </c>
      <c r="E103" s="81" t="s">
        <v>64</v>
      </c>
      <c r="F103" s="80" t="s">
        <v>65</v>
      </c>
      <c r="G103" s="80">
        <v>0.0299</v>
      </c>
      <c r="H103" s="80" t="s">
        <v>478</v>
      </c>
      <c r="I103" s="80">
        <v>1</v>
      </c>
      <c r="J103" s="80">
        <v>30</v>
      </c>
      <c r="K103" s="80" t="s">
        <v>294</v>
      </c>
      <c r="L103" s="83" t="s">
        <v>386</v>
      </c>
      <c r="M103" s="80">
        <v>3</v>
      </c>
      <c r="N103" s="80">
        <v>50</v>
      </c>
      <c r="O103" s="80" t="s">
        <v>296</v>
      </c>
      <c r="P103" s="83" t="s">
        <v>387</v>
      </c>
      <c r="Q103" s="80">
        <v>7</v>
      </c>
      <c r="R103" s="80">
        <v>70</v>
      </c>
      <c r="S103" s="80" t="s">
        <v>298</v>
      </c>
      <c r="T103" s="83" t="s">
        <v>388</v>
      </c>
      <c r="U103" s="80" t="s">
        <v>479</v>
      </c>
      <c r="V103" s="80">
        <v>90</v>
      </c>
      <c r="W103" s="80" t="s">
        <v>301</v>
      </c>
      <c r="X103" s="83" t="s">
        <v>390</v>
      </c>
      <c r="Y103" s="80"/>
      <c r="Z103" s="87" t="s">
        <v>611</v>
      </c>
    </row>
    <row r="104" ht="82" customHeight="1" spans="1:26">
      <c r="A104" s="88" t="s">
        <v>542</v>
      </c>
      <c r="B104" s="88" t="s">
        <v>159</v>
      </c>
      <c r="C104" s="88" t="s">
        <v>193</v>
      </c>
      <c r="D104" s="88" t="s">
        <v>194</v>
      </c>
      <c r="E104" s="81" t="s">
        <v>67</v>
      </c>
      <c r="F104" s="88" t="s">
        <v>65</v>
      </c>
      <c r="G104" s="88">
        <v>0.0286</v>
      </c>
      <c r="H104" s="88" t="s">
        <v>612</v>
      </c>
      <c r="I104" s="88">
        <v>18</v>
      </c>
      <c r="J104" s="88">
        <v>30</v>
      </c>
      <c r="K104" s="88" t="s">
        <v>294</v>
      </c>
      <c r="L104" s="83" t="s">
        <v>393</v>
      </c>
      <c r="M104" s="88">
        <v>26</v>
      </c>
      <c r="N104" s="88">
        <v>50</v>
      </c>
      <c r="O104" s="88" t="s">
        <v>296</v>
      </c>
      <c r="P104" s="83" t="s">
        <v>394</v>
      </c>
      <c r="Q104" s="88">
        <v>34</v>
      </c>
      <c r="R104" s="88">
        <v>70</v>
      </c>
      <c r="S104" s="88" t="s">
        <v>298</v>
      </c>
      <c r="T104" s="83" t="s">
        <v>395</v>
      </c>
      <c r="U104" s="88" t="s">
        <v>613</v>
      </c>
      <c r="V104" s="88">
        <v>90</v>
      </c>
      <c r="W104" s="88" t="s">
        <v>397</v>
      </c>
      <c r="X104" s="83" t="s">
        <v>398</v>
      </c>
      <c r="Y104" s="88" t="s">
        <v>399</v>
      </c>
      <c r="Z104" s="87" t="s">
        <v>614</v>
      </c>
    </row>
    <row r="105" ht="41" customHeight="1" spans="1:26">
      <c r="A105" s="80" t="s">
        <v>542</v>
      </c>
      <c r="B105" s="80" t="s">
        <v>159</v>
      </c>
      <c r="C105" s="80" t="s">
        <v>193</v>
      </c>
      <c r="D105" s="80" t="s">
        <v>197</v>
      </c>
      <c r="E105" s="81" t="s">
        <v>60</v>
      </c>
      <c r="F105" s="80" t="s">
        <v>401</v>
      </c>
      <c r="G105" s="80">
        <v>0.039</v>
      </c>
      <c r="H105" s="80" t="s">
        <v>615</v>
      </c>
      <c r="I105" s="80">
        <v>0.69</v>
      </c>
      <c r="J105" s="80">
        <v>30</v>
      </c>
      <c r="K105" s="80" t="s">
        <v>294</v>
      </c>
      <c r="L105" s="83" t="s">
        <v>403</v>
      </c>
      <c r="M105" s="80">
        <v>1</v>
      </c>
      <c r="N105" s="80">
        <v>50</v>
      </c>
      <c r="O105" s="80" t="s">
        <v>296</v>
      </c>
      <c r="P105" s="83" t="s">
        <v>404</v>
      </c>
      <c r="Q105" s="80">
        <v>1.21</v>
      </c>
      <c r="R105" s="80">
        <v>70</v>
      </c>
      <c r="S105" s="80" t="s">
        <v>298</v>
      </c>
      <c r="T105" s="83" t="s">
        <v>405</v>
      </c>
      <c r="U105" s="80" t="s">
        <v>616</v>
      </c>
      <c r="V105" s="80">
        <v>90</v>
      </c>
      <c r="W105" s="80" t="s">
        <v>301</v>
      </c>
      <c r="X105" s="83" t="s">
        <v>407</v>
      </c>
      <c r="Y105" s="80"/>
      <c r="Z105" s="87" t="s">
        <v>617</v>
      </c>
    </row>
    <row r="106" ht="68" customHeight="1" spans="1:26">
      <c r="A106" s="88" t="s">
        <v>542</v>
      </c>
      <c r="B106" s="88" t="s">
        <v>159</v>
      </c>
      <c r="C106" s="88" t="s">
        <v>193</v>
      </c>
      <c r="D106" s="88" t="s">
        <v>70</v>
      </c>
      <c r="E106" s="81" t="s">
        <v>70</v>
      </c>
      <c r="F106" s="88" t="s">
        <v>409</v>
      </c>
      <c r="G106" s="88">
        <v>0.0325</v>
      </c>
      <c r="H106" s="88" t="s">
        <v>487</v>
      </c>
      <c r="I106" s="88" t="s">
        <v>411</v>
      </c>
      <c r="J106" s="88">
        <v>0</v>
      </c>
      <c r="K106" s="88" t="s">
        <v>412</v>
      </c>
      <c r="L106" s="83" t="s">
        <v>413</v>
      </c>
      <c r="M106" s="88" t="s">
        <v>206</v>
      </c>
      <c r="N106" s="88">
        <v>30</v>
      </c>
      <c r="O106" s="88" t="s">
        <v>414</v>
      </c>
      <c r="P106" s="83" t="s">
        <v>415</v>
      </c>
      <c r="Q106" s="88" t="s">
        <v>416</v>
      </c>
      <c r="R106" s="88">
        <v>70</v>
      </c>
      <c r="S106" s="88" t="s">
        <v>417</v>
      </c>
      <c r="T106" s="83" t="s">
        <v>418</v>
      </c>
      <c r="U106" s="88" t="s">
        <v>201</v>
      </c>
      <c r="V106" s="88">
        <v>90</v>
      </c>
      <c r="W106" s="88" t="s">
        <v>488</v>
      </c>
      <c r="X106" s="83" t="s">
        <v>420</v>
      </c>
      <c r="Y106" s="88" t="s">
        <v>421</v>
      </c>
      <c r="Z106" s="87" t="s">
        <v>618</v>
      </c>
    </row>
    <row r="107" ht="41" customHeight="1" spans="1:26">
      <c r="A107" s="80" t="s">
        <v>542</v>
      </c>
      <c r="B107" s="80" t="s">
        <v>159</v>
      </c>
      <c r="C107" s="80" t="s">
        <v>203</v>
      </c>
      <c r="D107" s="80" t="s">
        <v>279</v>
      </c>
      <c r="E107" s="81" t="s">
        <v>75</v>
      </c>
      <c r="F107" s="80" t="s">
        <v>423</v>
      </c>
      <c r="G107" s="80">
        <v>0.015</v>
      </c>
      <c r="H107" s="80" t="s">
        <v>424</v>
      </c>
      <c r="I107" s="80" t="s">
        <v>201</v>
      </c>
      <c r="J107" s="80">
        <v>20</v>
      </c>
      <c r="K107" s="80" t="s">
        <v>425</v>
      </c>
      <c r="L107" s="83" t="s">
        <v>426</v>
      </c>
      <c r="M107" s="80" t="s">
        <v>416</v>
      </c>
      <c r="N107" s="80">
        <v>60</v>
      </c>
      <c r="O107" s="80" t="s">
        <v>427</v>
      </c>
      <c r="P107" s="83" t="s">
        <v>428</v>
      </c>
      <c r="Q107" s="80" t="s">
        <v>206</v>
      </c>
      <c r="R107" s="80">
        <v>90</v>
      </c>
      <c r="S107" s="80" t="s">
        <v>429</v>
      </c>
      <c r="T107" s="83" t="s">
        <v>430</v>
      </c>
      <c r="U107" s="80" t="s">
        <v>279</v>
      </c>
      <c r="V107" s="80"/>
      <c r="W107" s="80"/>
      <c r="X107" s="85" t="s">
        <v>431</v>
      </c>
      <c r="Y107" s="80"/>
      <c r="Z107" s="87" t="s">
        <v>619</v>
      </c>
    </row>
    <row r="108" ht="41" customHeight="1" spans="1:26">
      <c r="A108" s="88" t="s">
        <v>542</v>
      </c>
      <c r="B108" s="88" t="s">
        <v>159</v>
      </c>
      <c r="C108" s="88" t="s">
        <v>203</v>
      </c>
      <c r="D108" s="88" t="s">
        <v>279</v>
      </c>
      <c r="E108" s="81" t="s">
        <v>78</v>
      </c>
      <c r="F108" s="88" t="s">
        <v>423</v>
      </c>
      <c r="G108" s="88">
        <v>0.02</v>
      </c>
      <c r="H108" s="88" t="s">
        <v>410</v>
      </c>
      <c r="I108" s="88" t="s">
        <v>201</v>
      </c>
      <c r="J108" s="88">
        <v>20</v>
      </c>
      <c r="K108" s="88" t="s">
        <v>433</v>
      </c>
      <c r="L108" s="83" t="s">
        <v>434</v>
      </c>
      <c r="M108" s="88" t="s">
        <v>416</v>
      </c>
      <c r="N108" s="88">
        <v>60</v>
      </c>
      <c r="O108" s="88" t="s">
        <v>435</v>
      </c>
      <c r="P108" s="83" t="s">
        <v>436</v>
      </c>
      <c r="Q108" s="88" t="s">
        <v>206</v>
      </c>
      <c r="R108" s="88">
        <v>90</v>
      </c>
      <c r="S108" s="88" t="s">
        <v>437</v>
      </c>
      <c r="T108" s="83" t="s">
        <v>438</v>
      </c>
      <c r="U108" s="88" t="s">
        <v>279</v>
      </c>
      <c r="V108" s="88"/>
      <c r="W108" s="88"/>
      <c r="X108" s="83" t="s">
        <v>439</v>
      </c>
      <c r="Y108" s="88"/>
      <c r="Z108" s="87" t="s">
        <v>620</v>
      </c>
    </row>
    <row r="109" ht="41" customHeight="1" spans="1:26">
      <c r="A109" s="80" t="s">
        <v>542</v>
      </c>
      <c r="B109" s="80" t="s">
        <v>159</v>
      </c>
      <c r="C109" s="80" t="s">
        <v>203</v>
      </c>
      <c r="D109" s="80" t="s">
        <v>279</v>
      </c>
      <c r="E109" s="81" t="s">
        <v>80</v>
      </c>
      <c r="F109" s="80" t="s">
        <v>423</v>
      </c>
      <c r="G109" s="80">
        <v>0.015</v>
      </c>
      <c r="H109" s="80" t="s">
        <v>424</v>
      </c>
      <c r="I109" s="80" t="s">
        <v>201</v>
      </c>
      <c r="J109" s="80">
        <v>20</v>
      </c>
      <c r="K109" s="80" t="s">
        <v>441</v>
      </c>
      <c r="L109" s="83" t="s">
        <v>442</v>
      </c>
      <c r="M109" s="80" t="s">
        <v>416</v>
      </c>
      <c r="N109" s="80">
        <v>60</v>
      </c>
      <c r="O109" s="80" t="s">
        <v>443</v>
      </c>
      <c r="P109" s="83" t="s">
        <v>444</v>
      </c>
      <c r="Q109" s="80" t="s">
        <v>206</v>
      </c>
      <c r="R109" s="80">
        <v>90</v>
      </c>
      <c r="S109" s="80" t="s">
        <v>445</v>
      </c>
      <c r="T109" s="83" t="s">
        <v>446</v>
      </c>
      <c r="U109" s="80" t="s">
        <v>279</v>
      </c>
      <c r="V109" s="80"/>
      <c r="W109" s="80"/>
      <c r="X109" s="83" t="s">
        <v>447</v>
      </c>
      <c r="Y109" s="80"/>
      <c r="Z109" s="87" t="s">
        <v>621</v>
      </c>
    </row>
    <row r="110" ht="41" customHeight="1" spans="1:26">
      <c r="A110" s="88" t="s">
        <v>542</v>
      </c>
      <c r="B110" s="88" t="s">
        <v>493</v>
      </c>
      <c r="C110" s="88" t="s">
        <v>172</v>
      </c>
      <c r="D110" s="88" t="s">
        <v>173</v>
      </c>
      <c r="E110" s="81" t="s">
        <v>8</v>
      </c>
      <c r="F110" s="88" t="s">
        <v>9</v>
      </c>
      <c r="G110" s="88">
        <v>0.1</v>
      </c>
      <c r="H110" s="88">
        <v>1</v>
      </c>
      <c r="I110" s="88">
        <v>0.849999999999999</v>
      </c>
      <c r="J110" s="88">
        <v>0.1</v>
      </c>
      <c r="K110" s="88" t="s">
        <v>273</v>
      </c>
      <c r="L110" s="83" t="s">
        <v>274</v>
      </c>
      <c r="M110" s="88">
        <v>0.899999999999999</v>
      </c>
      <c r="N110" s="88">
        <v>0.11</v>
      </c>
      <c r="O110" s="88" t="s">
        <v>275</v>
      </c>
      <c r="P110" s="83" t="s">
        <v>276</v>
      </c>
      <c r="Q110" s="88">
        <v>0.99999999999999</v>
      </c>
      <c r="R110" s="88">
        <v>0.12</v>
      </c>
      <c r="S110" s="88" t="s">
        <v>277</v>
      </c>
      <c r="T110" s="83" t="s">
        <v>278</v>
      </c>
      <c r="U110" s="88" t="s">
        <v>279</v>
      </c>
      <c r="V110" s="88">
        <v>0.144</v>
      </c>
      <c r="W110" s="88" t="s">
        <v>280</v>
      </c>
      <c r="X110" s="85" t="s">
        <v>281</v>
      </c>
      <c r="Y110" s="88" t="s">
        <v>282</v>
      </c>
      <c r="Z110" s="87" t="s">
        <v>622</v>
      </c>
    </row>
    <row r="111" ht="41" customHeight="1" spans="1:26">
      <c r="A111" s="80" t="s">
        <v>542</v>
      </c>
      <c r="B111" s="80" t="s">
        <v>493</v>
      </c>
      <c r="C111" s="80" t="s">
        <v>172</v>
      </c>
      <c r="D111" s="80" t="s">
        <v>173</v>
      </c>
      <c r="E111" s="81" t="s">
        <v>12</v>
      </c>
      <c r="F111" s="80" t="s">
        <v>9</v>
      </c>
      <c r="G111" s="80">
        <v>0.1</v>
      </c>
      <c r="H111" s="80">
        <v>0.2526</v>
      </c>
      <c r="I111" s="94">
        <v>-1e-17</v>
      </c>
      <c r="J111" s="80">
        <v>0</v>
      </c>
      <c r="K111" s="80" t="s">
        <v>284</v>
      </c>
      <c r="L111" s="83" t="s">
        <v>285</v>
      </c>
      <c r="M111" s="80">
        <v>0.0304</v>
      </c>
      <c r="N111" s="80">
        <v>0.04</v>
      </c>
      <c r="O111" s="80" t="s">
        <v>286</v>
      </c>
      <c r="P111" s="83" t="s">
        <v>287</v>
      </c>
      <c r="Q111" s="80">
        <v>0.2526</v>
      </c>
      <c r="R111" s="80">
        <v>0.07</v>
      </c>
      <c r="S111" s="80" t="s">
        <v>288</v>
      </c>
      <c r="T111" s="83" t="s">
        <v>289</v>
      </c>
      <c r="U111" s="80" t="s">
        <v>279</v>
      </c>
      <c r="V111" s="80">
        <v>0.1</v>
      </c>
      <c r="W111" s="80" t="s">
        <v>290</v>
      </c>
      <c r="X111" s="83" t="s">
        <v>291</v>
      </c>
      <c r="Y111" s="80"/>
      <c r="Z111" s="87" t="s">
        <v>623</v>
      </c>
    </row>
    <row r="112" ht="41" customHeight="1" spans="1:26">
      <c r="A112" s="88" t="s">
        <v>542</v>
      </c>
      <c r="B112" s="88" t="s">
        <v>493</v>
      </c>
      <c r="C112" s="88" t="s">
        <v>172</v>
      </c>
      <c r="D112" s="88" t="s">
        <v>15</v>
      </c>
      <c r="E112" s="81" t="s">
        <v>16</v>
      </c>
      <c r="F112" s="88" t="s">
        <v>17</v>
      </c>
      <c r="G112" s="88">
        <v>0.034</v>
      </c>
      <c r="H112" s="88" t="s">
        <v>624</v>
      </c>
      <c r="I112" s="88">
        <v>567</v>
      </c>
      <c r="J112" s="88">
        <v>30</v>
      </c>
      <c r="K112" s="88" t="s">
        <v>294</v>
      </c>
      <c r="L112" s="83" t="s">
        <v>295</v>
      </c>
      <c r="M112" s="88">
        <v>613</v>
      </c>
      <c r="N112" s="88">
        <v>50</v>
      </c>
      <c r="O112" s="88" t="s">
        <v>296</v>
      </c>
      <c r="P112" s="83" t="s">
        <v>297</v>
      </c>
      <c r="Q112" s="88">
        <v>800</v>
      </c>
      <c r="R112" s="88">
        <v>70</v>
      </c>
      <c r="S112" s="88" t="s">
        <v>298</v>
      </c>
      <c r="T112" s="83" t="s">
        <v>299</v>
      </c>
      <c r="U112" s="88" t="s">
        <v>625</v>
      </c>
      <c r="V112" s="88">
        <v>90</v>
      </c>
      <c r="W112" s="88" t="s">
        <v>301</v>
      </c>
      <c r="X112" s="83" t="s">
        <v>302</v>
      </c>
      <c r="Y112" s="88"/>
      <c r="Z112" s="87" t="s">
        <v>626</v>
      </c>
    </row>
    <row r="113" ht="68" customHeight="1" spans="1:26">
      <c r="A113" s="80" t="s">
        <v>542</v>
      </c>
      <c r="B113" s="80" t="s">
        <v>493</v>
      </c>
      <c r="C113" s="80" t="s">
        <v>172</v>
      </c>
      <c r="D113" s="80" t="s">
        <v>15</v>
      </c>
      <c r="E113" s="81" t="s">
        <v>229</v>
      </c>
      <c r="F113" s="80" t="s">
        <v>9</v>
      </c>
      <c r="G113" s="80">
        <v>0.097</v>
      </c>
      <c r="H113" s="80">
        <v>0.328</v>
      </c>
      <c r="I113" s="80">
        <v>0.156</v>
      </c>
      <c r="J113" s="80">
        <v>30</v>
      </c>
      <c r="K113" s="80" t="s">
        <v>294</v>
      </c>
      <c r="L113" s="83" t="s">
        <v>304</v>
      </c>
      <c r="M113" s="80">
        <v>0.21</v>
      </c>
      <c r="N113" s="80">
        <v>50</v>
      </c>
      <c r="O113" s="80" t="s">
        <v>296</v>
      </c>
      <c r="P113" s="83" t="s">
        <v>305</v>
      </c>
      <c r="Q113" s="80">
        <v>0.328</v>
      </c>
      <c r="R113" s="80">
        <v>70</v>
      </c>
      <c r="S113" s="80" t="s">
        <v>298</v>
      </c>
      <c r="T113" s="83" t="s">
        <v>306</v>
      </c>
      <c r="U113" s="80" t="s">
        <v>627</v>
      </c>
      <c r="V113" s="80">
        <v>90</v>
      </c>
      <c r="W113" s="80" t="s">
        <v>301</v>
      </c>
      <c r="X113" s="83" t="s">
        <v>308</v>
      </c>
      <c r="Y113" s="80"/>
      <c r="Z113" s="87" t="s">
        <v>628</v>
      </c>
    </row>
    <row r="114" ht="41" customHeight="1" spans="1:26">
      <c r="A114" s="88" t="s">
        <v>542</v>
      </c>
      <c r="B114" s="88" t="s">
        <v>493</v>
      </c>
      <c r="C114" s="88" t="s">
        <v>172</v>
      </c>
      <c r="D114" s="88" t="s">
        <v>15</v>
      </c>
      <c r="E114" s="81" t="s">
        <v>27</v>
      </c>
      <c r="F114" s="88" t="s">
        <v>9</v>
      </c>
      <c r="G114" s="88">
        <v>0.063</v>
      </c>
      <c r="H114" s="88">
        <v>0.969</v>
      </c>
      <c r="I114" s="88">
        <v>0.918</v>
      </c>
      <c r="J114" s="88">
        <v>30</v>
      </c>
      <c r="K114" s="88" t="s">
        <v>294</v>
      </c>
      <c r="L114" s="83" t="s">
        <v>310</v>
      </c>
      <c r="M114" s="88">
        <v>0.955</v>
      </c>
      <c r="N114" s="88">
        <v>50</v>
      </c>
      <c r="O114" s="88" t="s">
        <v>296</v>
      </c>
      <c r="P114" s="83" t="s">
        <v>311</v>
      </c>
      <c r="Q114" s="88">
        <v>0.969</v>
      </c>
      <c r="R114" s="88">
        <v>70</v>
      </c>
      <c r="S114" s="88" t="s">
        <v>298</v>
      </c>
      <c r="T114" s="83" t="s">
        <v>312</v>
      </c>
      <c r="U114" s="88" t="s">
        <v>629</v>
      </c>
      <c r="V114" s="88">
        <v>90</v>
      </c>
      <c r="W114" s="88" t="s">
        <v>301</v>
      </c>
      <c r="X114" s="83" t="s">
        <v>314</v>
      </c>
      <c r="Y114" s="88"/>
      <c r="Z114" s="87" t="s">
        <v>630</v>
      </c>
    </row>
    <row r="115" ht="41" customHeight="1" spans="1:26">
      <c r="A115" s="80" t="s">
        <v>542</v>
      </c>
      <c r="B115" s="80" t="s">
        <v>493</v>
      </c>
      <c r="C115" s="80" t="s">
        <v>172</v>
      </c>
      <c r="D115" s="80" t="s">
        <v>15</v>
      </c>
      <c r="E115" s="81" t="s">
        <v>30</v>
      </c>
      <c r="F115" s="80" t="s">
        <v>17</v>
      </c>
      <c r="G115" s="80">
        <v>0.021</v>
      </c>
      <c r="H115" s="80" t="s">
        <v>631</v>
      </c>
      <c r="I115" s="80">
        <v>68.7</v>
      </c>
      <c r="J115" s="80">
        <v>30</v>
      </c>
      <c r="K115" s="80" t="s">
        <v>294</v>
      </c>
      <c r="L115" s="83" t="s">
        <v>317</v>
      </c>
      <c r="M115" s="80">
        <v>81.8</v>
      </c>
      <c r="N115" s="80">
        <v>50</v>
      </c>
      <c r="O115" s="80" t="s">
        <v>296</v>
      </c>
      <c r="P115" s="83" t="s">
        <v>318</v>
      </c>
      <c r="Q115" s="80">
        <v>99.8</v>
      </c>
      <c r="R115" s="80">
        <v>70</v>
      </c>
      <c r="S115" s="80" t="s">
        <v>298</v>
      </c>
      <c r="T115" s="83" t="s">
        <v>319</v>
      </c>
      <c r="U115" s="80" t="s">
        <v>632</v>
      </c>
      <c r="V115" s="80">
        <v>90</v>
      </c>
      <c r="W115" s="80" t="s">
        <v>301</v>
      </c>
      <c r="X115" s="83" t="s">
        <v>321</v>
      </c>
      <c r="Y115" s="80"/>
      <c r="Z115" s="87" t="s">
        <v>633</v>
      </c>
    </row>
    <row r="116" ht="55" customHeight="1" spans="1:26">
      <c r="A116" s="88" t="s">
        <v>542</v>
      </c>
      <c r="B116" s="88" t="s">
        <v>493</v>
      </c>
      <c r="C116" s="88" t="s">
        <v>172</v>
      </c>
      <c r="D116" s="88" t="s">
        <v>15</v>
      </c>
      <c r="E116" s="81" t="s">
        <v>34</v>
      </c>
      <c r="F116" s="88" t="s">
        <v>17</v>
      </c>
      <c r="G116" s="88">
        <v>0.013</v>
      </c>
      <c r="H116" s="88" t="s">
        <v>634</v>
      </c>
      <c r="I116" s="88">
        <v>3</v>
      </c>
      <c r="J116" s="88">
        <v>30</v>
      </c>
      <c r="K116" s="88" t="s">
        <v>294</v>
      </c>
      <c r="L116" s="83" t="s">
        <v>324</v>
      </c>
      <c r="M116" s="88">
        <v>5</v>
      </c>
      <c r="N116" s="88">
        <v>50</v>
      </c>
      <c r="O116" s="88" t="s">
        <v>296</v>
      </c>
      <c r="P116" s="83" t="s">
        <v>325</v>
      </c>
      <c r="Q116" s="88">
        <v>6</v>
      </c>
      <c r="R116" s="88">
        <v>70</v>
      </c>
      <c r="S116" s="88" t="s">
        <v>298</v>
      </c>
      <c r="T116" s="83" t="s">
        <v>326</v>
      </c>
      <c r="U116" s="88" t="s">
        <v>529</v>
      </c>
      <c r="V116" s="88">
        <v>90</v>
      </c>
      <c r="W116" s="88" t="s">
        <v>301</v>
      </c>
      <c r="X116" s="83" t="s">
        <v>328</v>
      </c>
      <c r="Y116" s="88"/>
      <c r="Z116" s="87" t="s">
        <v>635</v>
      </c>
    </row>
    <row r="117" ht="41" customHeight="1" spans="1:26">
      <c r="A117" s="80" t="s">
        <v>542</v>
      </c>
      <c r="B117" s="80" t="s">
        <v>493</v>
      </c>
      <c r="C117" s="80" t="s">
        <v>172</v>
      </c>
      <c r="D117" s="80" t="s">
        <v>15</v>
      </c>
      <c r="E117" s="81" t="s">
        <v>38</v>
      </c>
      <c r="F117" s="80" t="s">
        <v>39</v>
      </c>
      <c r="G117" s="80">
        <v>0.101</v>
      </c>
      <c r="H117" s="80" t="s">
        <v>636</v>
      </c>
      <c r="I117" s="80">
        <v>431</v>
      </c>
      <c r="J117" s="80">
        <v>30</v>
      </c>
      <c r="K117" s="80" t="s">
        <v>294</v>
      </c>
      <c r="L117" s="83" t="s">
        <v>331</v>
      </c>
      <c r="M117" s="80">
        <v>464</v>
      </c>
      <c r="N117" s="80">
        <v>50</v>
      </c>
      <c r="O117" s="80" t="s">
        <v>296</v>
      </c>
      <c r="P117" s="83" t="s">
        <v>332</v>
      </c>
      <c r="Q117" s="80">
        <v>530.2</v>
      </c>
      <c r="R117" s="80">
        <v>70</v>
      </c>
      <c r="S117" s="80" t="s">
        <v>298</v>
      </c>
      <c r="T117" s="83" t="s">
        <v>333</v>
      </c>
      <c r="U117" s="80" t="s">
        <v>637</v>
      </c>
      <c r="V117" s="80">
        <v>90</v>
      </c>
      <c r="W117" s="80" t="s">
        <v>301</v>
      </c>
      <c r="X117" s="83" t="s">
        <v>335</v>
      </c>
      <c r="Y117" s="80"/>
      <c r="Z117" s="87" t="s">
        <v>638</v>
      </c>
    </row>
    <row r="118" ht="55" customHeight="1" spans="1:26">
      <c r="A118" s="88" t="s">
        <v>542</v>
      </c>
      <c r="B118" s="88" t="s">
        <v>493</v>
      </c>
      <c r="C118" s="88" t="s">
        <v>172</v>
      </c>
      <c r="D118" s="88" t="s">
        <v>15</v>
      </c>
      <c r="E118" s="81" t="s">
        <v>42</v>
      </c>
      <c r="F118" s="88" t="s">
        <v>9</v>
      </c>
      <c r="G118" s="88">
        <v>0.004</v>
      </c>
      <c r="H118" s="88">
        <v>1</v>
      </c>
      <c r="I118" s="88">
        <v>0.875</v>
      </c>
      <c r="J118" s="88">
        <v>30</v>
      </c>
      <c r="K118" s="88" t="s">
        <v>294</v>
      </c>
      <c r="L118" s="83" t="s">
        <v>337</v>
      </c>
      <c r="M118" s="88">
        <v>0.9375</v>
      </c>
      <c r="N118" s="88">
        <v>50</v>
      </c>
      <c r="O118" s="88" t="s">
        <v>296</v>
      </c>
      <c r="P118" s="83" t="s">
        <v>338</v>
      </c>
      <c r="Q118" s="88">
        <v>1</v>
      </c>
      <c r="R118" s="88">
        <v>70</v>
      </c>
      <c r="S118" s="88" t="s">
        <v>339</v>
      </c>
      <c r="T118" s="83" t="s">
        <v>340</v>
      </c>
      <c r="U118" s="88" t="s">
        <v>279</v>
      </c>
      <c r="V118" s="88"/>
      <c r="W118" s="88"/>
      <c r="X118" s="83" t="s">
        <v>340</v>
      </c>
      <c r="Y118" s="88" t="s">
        <v>341</v>
      </c>
      <c r="Z118" s="87" t="s">
        <v>639</v>
      </c>
    </row>
    <row r="119" ht="55" customHeight="1" spans="1:26">
      <c r="A119" s="80" t="s">
        <v>542</v>
      </c>
      <c r="B119" s="80" t="s">
        <v>493</v>
      </c>
      <c r="C119" s="80" t="s">
        <v>172</v>
      </c>
      <c r="D119" s="80" t="s">
        <v>15</v>
      </c>
      <c r="E119" s="81" t="s">
        <v>23</v>
      </c>
      <c r="F119" s="80" t="s">
        <v>24</v>
      </c>
      <c r="G119" s="80">
        <v>0.084</v>
      </c>
      <c r="H119" s="80" t="s">
        <v>640</v>
      </c>
      <c r="I119" s="80">
        <v>3.4</v>
      </c>
      <c r="J119" s="80">
        <v>30</v>
      </c>
      <c r="K119" s="80" t="s">
        <v>294</v>
      </c>
      <c r="L119" s="83" t="s">
        <v>344</v>
      </c>
      <c r="M119" s="80">
        <v>3.9</v>
      </c>
      <c r="N119" s="80">
        <v>50</v>
      </c>
      <c r="O119" s="80" t="s">
        <v>296</v>
      </c>
      <c r="P119" s="83" t="s">
        <v>345</v>
      </c>
      <c r="Q119" s="80">
        <v>5.5</v>
      </c>
      <c r="R119" s="80">
        <v>70</v>
      </c>
      <c r="S119" s="80" t="s">
        <v>298</v>
      </c>
      <c r="T119" s="83" t="s">
        <v>346</v>
      </c>
      <c r="U119" s="80" t="s">
        <v>641</v>
      </c>
      <c r="V119" s="80">
        <v>90</v>
      </c>
      <c r="W119" s="80" t="s">
        <v>301</v>
      </c>
      <c r="X119" s="83" t="s">
        <v>348</v>
      </c>
      <c r="Y119" s="80"/>
      <c r="Z119" s="87" t="s">
        <v>642</v>
      </c>
    </row>
    <row r="120" ht="55" customHeight="1" spans="1:26">
      <c r="A120" s="88" t="s">
        <v>542</v>
      </c>
      <c r="B120" s="88" t="s">
        <v>493</v>
      </c>
      <c r="C120" s="88" t="s">
        <v>172</v>
      </c>
      <c r="D120" s="88" t="s">
        <v>44</v>
      </c>
      <c r="E120" s="81" t="s">
        <v>45</v>
      </c>
      <c r="F120" s="88" t="s">
        <v>35</v>
      </c>
      <c r="G120" s="88">
        <v>0.015</v>
      </c>
      <c r="H120" s="88" t="s">
        <v>643</v>
      </c>
      <c r="I120" s="88">
        <v>72</v>
      </c>
      <c r="J120" s="88">
        <v>30</v>
      </c>
      <c r="K120" s="88" t="s">
        <v>294</v>
      </c>
      <c r="L120" s="83" t="s">
        <v>352</v>
      </c>
      <c r="M120" s="88">
        <v>100</v>
      </c>
      <c r="N120" s="88">
        <v>50</v>
      </c>
      <c r="O120" s="88" t="s">
        <v>296</v>
      </c>
      <c r="P120" s="83" t="s">
        <v>353</v>
      </c>
      <c r="Q120" s="88">
        <v>182</v>
      </c>
      <c r="R120" s="88">
        <v>70</v>
      </c>
      <c r="S120" s="88" t="s">
        <v>298</v>
      </c>
      <c r="T120" s="83" t="s">
        <v>354</v>
      </c>
      <c r="U120" s="88" t="s">
        <v>644</v>
      </c>
      <c r="V120" s="88">
        <v>90</v>
      </c>
      <c r="W120" s="88" t="s">
        <v>301</v>
      </c>
      <c r="X120" s="83" t="s">
        <v>356</v>
      </c>
      <c r="Y120" s="88"/>
      <c r="Z120" s="87" t="s">
        <v>645</v>
      </c>
    </row>
    <row r="121" ht="55" customHeight="1" spans="1:26">
      <c r="A121" s="80" t="s">
        <v>542</v>
      </c>
      <c r="B121" s="80" t="s">
        <v>493</v>
      </c>
      <c r="C121" s="80" t="s">
        <v>172</v>
      </c>
      <c r="D121" s="80" t="s">
        <v>44</v>
      </c>
      <c r="E121" s="81" t="s">
        <v>48</v>
      </c>
      <c r="F121" s="80" t="s">
        <v>39</v>
      </c>
      <c r="G121" s="80">
        <v>0.035</v>
      </c>
      <c r="H121" s="80" t="s">
        <v>646</v>
      </c>
      <c r="I121" s="80">
        <v>0.279</v>
      </c>
      <c r="J121" s="80">
        <v>30</v>
      </c>
      <c r="K121" s="80" t="s">
        <v>294</v>
      </c>
      <c r="L121" s="83" t="s">
        <v>359</v>
      </c>
      <c r="M121" s="80">
        <v>0.364</v>
      </c>
      <c r="N121" s="80">
        <v>50</v>
      </c>
      <c r="O121" s="80" t="s">
        <v>296</v>
      </c>
      <c r="P121" s="83" t="s">
        <v>360</v>
      </c>
      <c r="Q121" s="80">
        <v>0.535</v>
      </c>
      <c r="R121" s="80">
        <v>70</v>
      </c>
      <c r="S121" s="80" t="s">
        <v>298</v>
      </c>
      <c r="T121" s="83" t="s">
        <v>361</v>
      </c>
      <c r="U121" s="80" t="s">
        <v>647</v>
      </c>
      <c r="V121" s="80">
        <v>90</v>
      </c>
      <c r="W121" s="80" t="s">
        <v>301</v>
      </c>
      <c r="X121" s="83" t="s">
        <v>363</v>
      </c>
      <c r="Y121" s="80"/>
      <c r="Z121" s="87" t="s">
        <v>648</v>
      </c>
    </row>
    <row r="122" ht="82" customHeight="1" spans="1:26">
      <c r="A122" s="88" t="s">
        <v>542</v>
      </c>
      <c r="B122" s="88" t="s">
        <v>493</v>
      </c>
      <c r="C122" s="88" t="s">
        <v>172</v>
      </c>
      <c r="D122" s="88" t="s">
        <v>52</v>
      </c>
      <c r="E122" s="81" t="s">
        <v>190</v>
      </c>
      <c r="F122" s="88" t="s">
        <v>17</v>
      </c>
      <c r="G122" s="88">
        <v>0.06</v>
      </c>
      <c r="H122" s="88" t="s">
        <v>365</v>
      </c>
      <c r="I122" s="88">
        <v>2</v>
      </c>
      <c r="J122" s="88">
        <v>20</v>
      </c>
      <c r="K122" s="88" t="s">
        <v>366</v>
      </c>
      <c r="L122" s="83" t="s">
        <v>367</v>
      </c>
      <c r="M122" s="88">
        <v>3</v>
      </c>
      <c r="N122" s="88">
        <v>70</v>
      </c>
      <c r="O122" s="88" t="s">
        <v>298</v>
      </c>
      <c r="P122" s="83" t="s">
        <v>368</v>
      </c>
      <c r="Q122" s="88">
        <v>4</v>
      </c>
      <c r="R122" s="88">
        <v>90</v>
      </c>
      <c r="S122" s="88" t="s">
        <v>369</v>
      </c>
      <c r="T122" s="83" t="s">
        <v>370</v>
      </c>
      <c r="U122" s="88" t="s">
        <v>371</v>
      </c>
      <c r="V122" s="88">
        <v>90</v>
      </c>
      <c r="W122" s="88" t="s">
        <v>369</v>
      </c>
      <c r="X122" s="83" t="s">
        <v>372</v>
      </c>
      <c r="Y122" s="88" t="s">
        <v>373</v>
      </c>
      <c r="Z122" s="87" t="s">
        <v>649</v>
      </c>
    </row>
    <row r="123" ht="41" customHeight="1" spans="1:26">
      <c r="A123" s="80" t="s">
        <v>542</v>
      </c>
      <c r="B123" s="80" t="s">
        <v>493</v>
      </c>
      <c r="C123" s="80" t="s">
        <v>172</v>
      </c>
      <c r="D123" s="80" t="s">
        <v>56</v>
      </c>
      <c r="E123" s="81" t="s">
        <v>192</v>
      </c>
      <c r="F123" s="80" t="s">
        <v>17</v>
      </c>
      <c r="G123" s="80">
        <v>0.06</v>
      </c>
      <c r="H123" s="80" t="s">
        <v>522</v>
      </c>
      <c r="I123" s="80">
        <v>3</v>
      </c>
      <c r="J123" s="80">
        <v>20</v>
      </c>
      <c r="K123" s="80" t="s">
        <v>523</v>
      </c>
      <c r="L123" s="83" t="s">
        <v>376</v>
      </c>
      <c r="M123" s="80">
        <v>4</v>
      </c>
      <c r="N123" s="80">
        <v>50</v>
      </c>
      <c r="O123" s="80" t="s">
        <v>524</v>
      </c>
      <c r="P123" s="83" t="s">
        <v>378</v>
      </c>
      <c r="Q123" s="80">
        <v>5</v>
      </c>
      <c r="R123" s="80">
        <v>70</v>
      </c>
      <c r="S123" s="80" t="s">
        <v>525</v>
      </c>
      <c r="T123" s="83" t="s">
        <v>380</v>
      </c>
      <c r="U123" s="80" t="s">
        <v>279</v>
      </c>
      <c r="V123" s="80">
        <v>90</v>
      </c>
      <c r="W123" s="80" t="s">
        <v>526</v>
      </c>
      <c r="X123" s="83" t="s">
        <v>382</v>
      </c>
      <c r="Y123" s="80" t="s">
        <v>383</v>
      </c>
      <c r="Z123" s="87" t="s">
        <v>650</v>
      </c>
    </row>
    <row r="124" ht="55" customHeight="1" spans="1:26">
      <c r="A124" s="88" t="s">
        <v>542</v>
      </c>
      <c r="B124" s="88" t="s">
        <v>493</v>
      </c>
      <c r="C124" s="88" t="s">
        <v>193</v>
      </c>
      <c r="D124" s="88" t="s">
        <v>194</v>
      </c>
      <c r="E124" s="81" t="s">
        <v>64</v>
      </c>
      <c r="F124" s="88" t="s">
        <v>65</v>
      </c>
      <c r="G124" s="88">
        <v>0.024</v>
      </c>
      <c r="H124" s="88" t="s">
        <v>528</v>
      </c>
      <c r="I124" s="88">
        <v>1</v>
      </c>
      <c r="J124" s="88">
        <v>30</v>
      </c>
      <c r="K124" s="88" t="s">
        <v>294</v>
      </c>
      <c r="L124" s="83" t="s">
        <v>386</v>
      </c>
      <c r="M124" s="88">
        <v>3</v>
      </c>
      <c r="N124" s="88">
        <v>50</v>
      </c>
      <c r="O124" s="88" t="s">
        <v>296</v>
      </c>
      <c r="P124" s="83" t="s">
        <v>387</v>
      </c>
      <c r="Q124" s="88">
        <v>6</v>
      </c>
      <c r="R124" s="88">
        <v>70</v>
      </c>
      <c r="S124" s="88" t="s">
        <v>298</v>
      </c>
      <c r="T124" s="83" t="s">
        <v>388</v>
      </c>
      <c r="U124" s="88" t="s">
        <v>529</v>
      </c>
      <c r="V124" s="88">
        <v>90</v>
      </c>
      <c r="W124" s="88" t="s">
        <v>301</v>
      </c>
      <c r="X124" s="83" t="s">
        <v>390</v>
      </c>
      <c r="Y124" s="88"/>
      <c r="Z124" s="87" t="s">
        <v>651</v>
      </c>
    </row>
    <row r="125" ht="82" customHeight="1" spans="1:26">
      <c r="A125" s="80" t="s">
        <v>542</v>
      </c>
      <c r="B125" s="80" t="s">
        <v>493</v>
      </c>
      <c r="C125" s="80" t="s">
        <v>193</v>
      </c>
      <c r="D125" s="80" t="s">
        <v>194</v>
      </c>
      <c r="E125" s="81" t="s">
        <v>67</v>
      </c>
      <c r="F125" s="80" t="s">
        <v>65</v>
      </c>
      <c r="G125" s="80">
        <v>0.035</v>
      </c>
      <c r="H125" s="80" t="s">
        <v>652</v>
      </c>
      <c r="I125" s="80">
        <v>26</v>
      </c>
      <c r="J125" s="80">
        <v>30</v>
      </c>
      <c r="K125" s="80" t="s">
        <v>294</v>
      </c>
      <c r="L125" s="83" t="s">
        <v>393</v>
      </c>
      <c r="M125" s="80">
        <v>30</v>
      </c>
      <c r="N125" s="80">
        <v>50</v>
      </c>
      <c r="O125" s="80" t="s">
        <v>296</v>
      </c>
      <c r="P125" s="83" t="s">
        <v>394</v>
      </c>
      <c r="Q125" s="80">
        <v>35</v>
      </c>
      <c r="R125" s="80">
        <v>70</v>
      </c>
      <c r="S125" s="80" t="s">
        <v>298</v>
      </c>
      <c r="T125" s="83" t="s">
        <v>395</v>
      </c>
      <c r="U125" s="80" t="s">
        <v>653</v>
      </c>
      <c r="V125" s="80">
        <v>90</v>
      </c>
      <c r="W125" s="80" t="s">
        <v>397</v>
      </c>
      <c r="X125" s="83" t="s">
        <v>398</v>
      </c>
      <c r="Y125" s="80" t="s">
        <v>399</v>
      </c>
      <c r="Z125" s="87" t="s">
        <v>654</v>
      </c>
    </row>
    <row r="126" ht="41" customHeight="1" spans="1:26">
      <c r="A126" s="88" t="s">
        <v>542</v>
      </c>
      <c r="B126" s="88" t="s">
        <v>493</v>
      </c>
      <c r="C126" s="88" t="s">
        <v>193</v>
      </c>
      <c r="D126" s="88" t="s">
        <v>197</v>
      </c>
      <c r="E126" s="81" t="s">
        <v>60</v>
      </c>
      <c r="F126" s="88" t="s">
        <v>401</v>
      </c>
      <c r="G126" s="88">
        <v>0.056</v>
      </c>
      <c r="H126" s="88" t="s">
        <v>655</v>
      </c>
      <c r="I126" s="88">
        <v>0.95</v>
      </c>
      <c r="J126" s="88">
        <v>30</v>
      </c>
      <c r="K126" s="88" t="s">
        <v>294</v>
      </c>
      <c r="L126" s="83" t="s">
        <v>403</v>
      </c>
      <c r="M126" s="88">
        <v>1.25</v>
      </c>
      <c r="N126" s="88">
        <v>50</v>
      </c>
      <c r="O126" s="88" t="s">
        <v>296</v>
      </c>
      <c r="P126" s="83" t="s">
        <v>404</v>
      </c>
      <c r="Q126" s="88">
        <v>2</v>
      </c>
      <c r="R126" s="88">
        <v>70</v>
      </c>
      <c r="S126" s="88" t="s">
        <v>298</v>
      </c>
      <c r="T126" s="83" t="s">
        <v>405</v>
      </c>
      <c r="U126" s="88" t="s">
        <v>656</v>
      </c>
      <c r="V126" s="88">
        <v>90</v>
      </c>
      <c r="W126" s="88" t="s">
        <v>301</v>
      </c>
      <c r="X126" s="83" t="s">
        <v>407</v>
      </c>
      <c r="Y126" s="88"/>
      <c r="Z126" s="87" t="s">
        <v>657</v>
      </c>
    </row>
    <row r="127" ht="68" customHeight="1" spans="1:26">
      <c r="A127" s="80" t="s">
        <v>542</v>
      </c>
      <c r="B127" s="80" t="s">
        <v>493</v>
      </c>
      <c r="C127" s="80" t="s">
        <v>193</v>
      </c>
      <c r="D127" s="80" t="s">
        <v>70</v>
      </c>
      <c r="E127" s="81" t="s">
        <v>70</v>
      </c>
      <c r="F127" s="80" t="s">
        <v>409</v>
      </c>
      <c r="G127" s="80">
        <v>0.048</v>
      </c>
      <c r="H127" s="80" t="s">
        <v>537</v>
      </c>
      <c r="I127" s="80" t="s">
        <v>411</v>
      </c>
      <c r="J127" s="80">
        <v>0</v>
      </c>
      <c r="K127" s="80" t="s">
        <v>412</v>
      </c>
      <c r="L127" s="83" t="s">
        <v>413</v>
      </c>
      <c r="M127" s="80" t="s">
        <v>206</v>
      </c>
      <c r="N127" s="80">
        <v>30</v>
      </c>
      <c r="O127" s="80" t="s">
        <v>414</v>
      </c>
      <c r="P127" s="83" t="s">
        <v>415</v>
      </c>
      <c r="Q127" s="80" t="s">
        <v>416</v>
      </c>
      <c r="R127" s="80">
        <v>70</v>
      </c>
      <c r="S127" s="80" t="s">
        <v>417</v>
      </c>
      <c r="T127" s="83" t="s">
        <v>418</v>
      </c>
      <c r="U127" s="80" t="s">
        <v>201</v>
      </c>
      <c r="V127" s="80">
        <v>90</v>
      </c>
      <c r="W127" s="80" t="s">
        <v>488</v>
      </c>
      <c r="X127" s="83" t="s">
        <v>420</v>
      </c>
      <c r="Y127" s="80" t="s">
        <v>421</v>
      </c>
      <c r="Z127" s="87" t="s">
        <v>658</v>
      </c>
    </row>
    <row r="128" ht="41" customHeight="1" spans="1:26">
      <c r="A128" s="88" t="s">
        <v>542</v>
      </c>
      <c r="B128" s="88" t="s">
        <v>493</v>
      </c>
      <c r="C128" s="88" t="s">
        <v>203</v>
      </c>
      <c r="D128" s="88" t="s">
        <v>279</v>
      </c>
      <c r="E128" s="81" t="s">
        <v>75</v>
      </c>
      <c r="F128" s="88" t="s">
        <v>423</v>
      </c>
      <c r="G128" s="88">
        <v>0.015</v>
      </c>
      <c r="H128" s="88" t="s">
        <v>424</v>
      </c>
      <c r="I128" s="88" t="s">
        <v>201</v>
      </c>
      <c r="J128" s="88">
        <v>20</v>
      </c>
      <c r="K128" s="88" t="s">
        <v>425</v>
      </c>
      <c r="L128" s="83" t="s">
        <v>426</v>
      </c>
      <c r="M128" s="88" t="s">
        <v>416</v>
      </c>
      <c r="N128" s="88">
        <v>60</v>
      </c>
      <c r="O128" s="88" t="s">
        <v>427</v>
      </c>
      <c r="P128" s="83" t="s">
        <v>428</v>
      </c>
      <c r="Q128" s="88" t="s">
        <v>206</v>
      </c>
      <c r="R128" s="88">
        <v>90</v>
      </c>
      <c r="S128" s="88" t="s">
        <v>429</v>
      </c>
      <c r="T128" s="83" t="s">
        <v>430</v>
      </c>
      <c r="U128" s="88" t="s">
        <v>279</v>
      </c>
      <c r="V128" s="88"/>
      <c r="W128" s="88"/>
      <c r="X128" s="85" t="s">
        <v>431</v>
      </c>
      <c r="Y128" s="88"/>
      <c r="Z128" s="87" t="s">
        <v>659</v>
      </c>
    </row>
    <row r="129" ht="41" customHeight="1" spans="1:26">
      <c r="A129" s="80" t="s">
        <v>542</v>
      </c>
      <c r="B129" s="80" t="s">
        <v>493</v>
      </c>
      <c r="C129" s="80" t="s">
        <v>203</v>
      </c>
      <c r="D129" s="80" t="s">
        <v>279</v>
      </c>
      <c r="E129" s="81" t="s">
        <v>78</v>
      </c>
      <c r="F129" s="80" t="s">
        <v>423</v>
      </c>
      <c r="G129" s="80">
        <v>0.02</v>
      </c>
      <c r="H129" s="80" t="s">
        <v>410</v>
      </c>
      <c r="I129" s="80" t="s">
        <v>201</v>
      </c>
      <c r="J129" s="80">
        <v>20</v>
      </c>
      <c r="K129" s="80" t="s">
        <v>433</v>
      </c>
      <c r="L129" s="83" t="s">
        <v>434</v>
      </c>
      <c r="M129" s="80" t="s">
        <v>416</v>
      </c>
      <c r="N129" s="80">
        <v>60</v>
      </c>
      <c r="O129" s="80" t="s">
        <v>435</v>
      </c>
      <c r="P129" s="83" t="s">
        <v>436</v>
      </c>
      <c r="Q129" s="80" t="s">
        <v>206</v>
      </c>
      <c r="R129" s="80">
        <v>90</v>
      </c>
      <c r="S129" s="80" t="s">
        <v>437</v>
      </c>
      <c r="T129" s="83" t="s">
        <v>438</v>
      </c>
      <c r="U129" s="80" t="s">
        <v>279</v>
      </c>
      <c r="V129" s="80"/>
      <c r="W129" s="80"/>
      <c r="X129" s="83" t="s">
        <v>439</v>
      </c>
      <c r="Y129" s="80"/>
      <c r="Z129" s="87" t="s">
        <v>660</v>
      </c>
    </row>
    <row r="130" ht="41" customHeight="1" spans="1:26">
      <c r="A130" s="88" t="s">
        <v>542</v>
      </c>
      <c r="B130" s="88" t="s">
        <v>493</v>
      </c>
      <c r="C130" s="88" t="s">
        <v>203</v>
      </c>
      <c r="D130" s="88" t="s">
        <v>279</v>
      </c>
      <c r="E130" s="81" t="s">
        <v>80</v>
      </c>
      <c r="F130" s="88" t="s">
        <v>423</v>
      </c>
      <c r="G130" s="88">
        <v>0.015</v>
      </c>
      <c r="H130" s="88" t="s">
        <v>424</v>
      </c>
      <c r="I130" s="88" t="s">
        <v>201</v>
      </c>
      <c r="J130" s="88">
        <v>20</v>
      </c>
      <c r="K130" s="88" t="s">
        <v>441</v>
      </c>
      <c r="L130" s="83" t="s">
        <v>442</v>
      </c>
      <c r="M130" s="88" t="s">
        <v>416</v>
      </c>
      <c r="N130" s="88">
        <v>60</v>
      </c>
      <c r="O130" s="88" t="s">
        <v>443</v>
      </c>
      <c r="P130" s="83" t="s">
        <v>444</v>
      </c>
      <c r="Q130" s="88" t="s">
        <v>206</v>
      </c>
      <c r="R130" s="88">
        <v>90</v>
      </c>
      <c r="S130" s="88" t="s">
        <v>445</v>
      </c>
      <c r="T130" s="83" t="s">
        <v>446</v>
      </c>
      <c r="U130" s="88" t="s">
        <v>279</v>
      </c>
      <c r="V130" s="88"/>
      <c r="W130" s="88"/>
      <c r="X130" s="83" t="s">
        <v>447</v>
      </c>
      <c r="Y130" s="88"/>
      <c r="Z130" s="87" t="s">
        <v>661</v>
      </c>
    </row>
    <row r="131" ht="41" customHeight="1" spans="1:26">
      <c r="A131" s="80" t="s">
        <v>157</v>
      </c>
      <c r="B131" s="80" t="s">
        <v>272</v>
      </c>
      <c r="C131" s="80" t="s">
        <v>172</v>
      </c>
      <c r="D131" s="80" t="s">
        <v>173</v>
      </c>
      <c r="E131" s="81" t="s">
        <v>8</v>
      </c>
      <c r="F131" s="80" t="s">
        <v>9</v>
      </c>
      <c r="G131" s="80">
        <v>0.1</v>
      </c>
      <c r="H131" s="80">
        <v>1</v>
      </c>
      <c r="I131" s="80">
        <v>0.849999999999999</v>
      </c>
      <c r="J131" s="80">
        <v>0.1</v>
      </c>
      <c r="K131" s="80" t="s">
        <v>273</v>
      </c>
      <c r="L131" s="83" t="s">
        <v>274</v>
      </c>
      <c r="M131" s="80">
        <v>0.899999999999999</v>
      </c>
      <c r="N131" s="80">
        <v>0.11</v>
      </c>
      <c r="O131" s="80" t="s">
        <v>275</v>
      </c>
      <c r="P131" s="83" t="s">
        <v>276</v>
      </c>
      <c r="Q131" s="80">
        <v>0.99999999999999</v>
      </c>
      <c r="R131" s="80">
        <v>0.12</v>
      </c>
      <c r="S131" s="80" t="s">
        <v>277</v>
      </c>
      <c r="T131" s="83" t="s">
        <v>278</v>
      </c>
      <c r="U131" s="80" t="s">
        <v>279</v>
      </c>
      <c r="V131" s="80">
        <v>0.144</v>
      </c>
      <c r="W131" s="80" t="s">
        <v>280</v>
      </c>
      <c r="X131" s="85" t="s">
        <v>281</v>
      </c>
      <c r="Y131" s="80" t="s">
        <v>282</v>
      </c>
      <c r="Z131" s="87" t="s">
        <v>662</v>
      </c>
    </row>
    <row r="132" ht="41" customHeight="1" spans="1:26">
      <c r="A132" s="88" t="s">
        <v>157</v>
      </c>
      <c r="B132" s="88" t="s">
        <v>272</v>
      </c>
      <c r="C132" s="88" t="s">
        <v>172</v>
      </c>
      <c r="D132" s="88" t="s">
        <v>173</v>
      </c>
      <c r="E132" s="81" t="s">
        <v>12</v>
      </c>
      <c r="F132" s="88" t="s">
        <v>9</v>
      </c>
      <c r="G132" s="88">
        <v>0.1</v>
      </c>
      <c r="H132" s="88">
        <v>0.2231</v>
      </c>
      <c r="I132" s="88">
        <v>-1e-17</v>
      </c>
      <c r="J132" s="88">
        <v>0</v>
      </c>
      <c r="K132" s="88" t="s">
        <v>284</v>
      </c>
      <c r="L132" s="83" t="s">
        <v>285</v>
      </c>
      <c r="M132" s="88">
        <v>0.0233</v>
      </c>
      <c r="N132" s="88">
        <v>0.04</v>
      </c>
      <c r="O132" s="88" t="s">
        <v>286</v>
      </c>
      <c r="P132" s="83" t="s">
        <v>287</v>
      </c>
      <c r="Q132" s="88">
        <v>0.2231</v>
      </c>
      <c r="R132" s="88">
        <v>0.07</v>
      </c>
      <c r="S132" s="88" t="s">
        <v>288</v>
      </c>
      <c r="T132" s="83" t="s">
        <v>289</v>
      </c>
      <c r="U132" s="88" t="s">
        <v>279</v>
      </c>
      <c r="V132" s="88">
        <v>0.1</v>
      </c>
      <c r="W132" s="88" t="s">
        <v>290</v>
      </c>
      <c r="X132" s="83" t="s">
        <v>291</v>
      </c>
      <c r="Y132" s="88"/>
      <c r="Z132" s="87" t="s">
        <v>663</v>
      </c>
    </row>
    <row r="133" ht="41" customHeight="1" spans="1:26">
      <c r="A133" s="80" t="s">
        <v>157</v>
      </c>
      <c r="B133" s="80" t="s">
        <v>272</v>
      </c>
      <c r="C133" s="80" t="s">
        <v>172</v>
      </c>
      <c r="D133" s="80" t="s">
        <v>15</v>
      </c>
      <c r="E133" s="81" t="s">
        <v>16</v>
      </c>
      <c r="F133" s="80" t="s">
        <v>17</v>
      </c>
      <c r="G133" s="80">
        <v>0.058</v>
      </c>
      <c r="H133" s="80" t="s">
        <v>664</v>
      </c>
      <c r="I133" s="80">
        <v>143</v>
      </c>
      <c r="J133" s="80">
        <v>30</v>
      </c>
      <c r="K133" s="80" t="s">
        <v>294</v>
      </c>
      <c r="L133" s="83" t="s">
        <v>295</v>
      </c>
      <c r="M133" s="80">
        <v>184</v>
      </c>
      <c r="N133" s="80">
        <v>50</v>
      </c>
      <c r="O133" s="80" t="s">
        <v>296</v>
      </c>
      <c r="P133" s="83" t="s">
        <v>297</v>
      </c>
      <c r="Q133" s="80">
        <v>231</v>
      </c>
      <c r="R133" s="80">
        <v>70</v>
      </c>
      <c r="S133" s="80" t="s">
        <v>298</v>
      </c>
      <c r="T133" s="83" t="s">
        <v>299</v>
      </c>
      <c r="U133" s="80" t="s">
        <v>665</v>
      </c>
      <c r="V133" s="80">
        <v>90</v>
      </c>
      <c r="W133" s="80" t="s">
        <v>301</v>
      </c>
      <c r="X133" s="83" t="s">
        <v>302</v>
      </c>
      <c r="Y133" s="80"/>
      <c r="Z133" s="87" t="s">
        <v>666</v>
      </c>
    </row>
    <row r="134" ht="68" customHeight="1" spans="1:26">
      <c r="A134" s="88" t="s">
        <v>157</v>
      </c>
      <c r="B134" s="88" t="s">
        <v>272</v>
      </c>
      <c r="C134" s="88" t="s">
        <v>172</v>
      </c>
      <c r="D134" s="88" t="s">
        <v>15</v>
      </c>
      <c r="E134" s="81" t="s">
        <v>229</v>
      </c>
      <c r="F134" s="88" t="s">
        <v>9</v>
      </c>
      <c r="G134" s="88">
        <v>0.043</v>
      </c>
      <c r="H134" s="88">
        <v>0.199</v>
      </c>
      <c r="I134" s="88">
        <v>0.11</v>
      </c>
      <c r="J134" s="88">
        <v>30</v>
      </c>
      <c r="K134" s="88" t="s">
        <v>294</v>
      </c>
      <c r="L134" s="83" t="s">
        <v>304</v>
      </c>
      <c r="M134" s="88">
        <v>0.147</v>
      </c>
      <c r="N134" s="88">
        <v>50</v>
      </c>
      <c r="O134" s="88" t="s">
        <v>296</v>
      </c>
      <c r="P134" s="83" t="s">
        <v>305</v>
      </c>
      <c r="Q134" s="88">
        <v>0.199</v>
      </c>
      <c r="R134" s="88">
        <v>70</v>
      </c>
      <c r="S134" s="88" t="s">
        <v>298</v>
      </c>
      <c r="T134" s="83" t="s">
        <v>306</v>
      </c>
      <c r="U134" s="88" t="s">
        <v>667</v>
      </c>
      <c r="V134" s="88">
        <v>90</v>
      </c>
      <c r="W134" s="88" t="s">
        <v>301</v>
      </c>
      <c r="X134" s="83" t="s">
        <v>308</v>
      </c>
      <c r="Y134" s="88"/>
      <c r="Z134" s="87" t="s">
        <v>668</v>
      </c>
    </row>
    <row r="135" ht="41" customHeight="1" spans="1:26">
      <c r="A135" s="80" t="s">
        <v>157</v>
      </c>
      <c r="B135" s="80" t="s">
        <v>272</v>
      </c>
      <c r="C135" s="80" t="s">
        <v>172</v>
      </c>
      <c r="D135" s="80" t="s">
        <v>15</v>
      </c>
      <c r="E135" s="81" t="s">
        <v>27</v>
      </c>
      <c r="F135" s="80" t="s">
        <v>9</v>
      </c>
      <c r="G135" s="80">
        <v>0.12</v>
      </c>
      <c r="H135" s="80">
        <v>0.961</v>
      </c>
      <c r="I135" s="80">
        <v>0.889</v>
      </c>
      <c r="J135" s="80">
        <v>30</v>
      </c>
      <c r="K135" s="80" t="s">
        <v>294</v>
      </c>
      <c r="L135" s="83" t="s">
        <v>310</v>
      </c>
      <c r="M135" s="80">
        <v>0.937</v>
      </c>
      <c r="N135" s="80">
        <v>50</v>
      </c>
      <c r="O135" s="80" t="s">
        <v>296</v>
      </c>
      <c r="P135" s="83" t="s">
        <v>311</v>
      </c>
      <c r="Q135" s="80">
        <v>0.961</v>
      </c>
      <c r="R135" s="80">
        <v>70</v>
      </c>
      <c r="S135" s="80" t="s">
        <v>298</v>
      </c>
      <c r="T135" s="83" t="s">
        <v>312</v>
      </c>
      <c r="U135" s="80" t="s">
        <v>669</v>
      </c>
      <c r="V135" s="80">
        <v>90</v>
      </c>
      <c r="W135" s="80" t="s">
        <v>301</v>
      </c>
      <c r="X135" s="83" t="s">
        <v>314</v>
      </c>
      <c r="Y135" s="80"/>
      <c r="Z135" s="87" t="s">
        <v>670</v>
      </c>
    </row>
    <row r="136" ht="41" customHeight="1" spans="1:26">
      <c r="A136" s="88" t="s">
        <v>157</v>
      </c>
      <c r="B136" s="88" t="s">
        <v>272</v>
      </c>
      <c r="C136" s="88" t="s">
        <v>172</v>
      </c>
      <c r="D136" s="88" t="s">
        <v>15</v>
      </c>
      <c r="E136" s="81" t="s">
        <v>30</v>
      </c>
      <c r="F136" s="88" t="s">
        <v>17</v>
      </c>
      <c r="G136" s="88">
        <v>0.048</v>
      </c>
      <c r="H136" s="88" t="s">
        <v>671</v>
      </c>
      <c r="I136" s="88">
        <v>43.5</v>
      </c>
      <c r="J136" s="88">
        <v>30</v>
      </c>
      <c r="K136" s="88" t="s">
        <v>294</v>
      </c>
      <c r="L136" s="83" t="s">
        <v>317</v>
      </c>
      <c r="M136" s="88">
        <v>55</v>
      </c>
      <c r="N136" s="88">
        <v>50</v>
      </c>
      <c r="O136" s="88" t="s">
        <v>296</v>
      </c>
      <c r="P136" s="83" t="s">
        <v>318</v>
      </c>
      <c r="Q136" s="88">
        <v>65.5</v>
      </c>
      <c r="R136" s="88">
        <v>70</v>
      </c>
      <c r="S136" s="88" t="s">
        <v>298</v>
      </c>
      <c r="T136" s="83" t="s">
        <v>319</v>
      </c>
      <c r="U136" s="88" t="s">
        <v>672</v>
      </c>
      <c r="V136" s="88">
        <v>90</v>
      </c>
      <c r="W136" s="88" t="s">
        <v>301</v>
      </c>
      <c r="X136" s="83" t="s">
        <v>321</v>
      </c>
      <c r="Y136" s="88"/>
      <c r="Z136" s="87" t="s">
        <v>673</v>
      </c>
    </row>
    <row r="137" ht="55" customHeight="1" spans="1:26">
      <c r="A137" s="80" t="s">
        <v>157</v>
      </c>
      <c r="B137" s="80" t="s">
        <v>272</v>
      </c>
      <c r="C137" s="80" t="s">
        <v>172</v>
      </c>
      <c r="D137" s="80" t="s">
        <v>15</v>
      </c>
      <c r="E137" s="81" t="s">
        <v>34</v>
      </c>
      <c r="F137" s="80" t="s">
        <v>17</v>
      </c>
      <c r="G137" s="80">
        <v>0.024</v>
      </c>
      <c r="H137" s="80" t="s">
        <v>461</v>
      </c>
      <c r="I137" s="80">
        <v>1</v>
      </c>
      <c r="J137" s="80">
        <v>30</v>
      </c>
      <c r="K137" s="80" t="s">
        <v>294</v>
      </c>
      <c r="L137" s="83" t="s">
        <v>324</v>
      </c>
      <c r="M137" s="80">
        <v>2</v>
      </c>
      <c r="N137" s="80">
        <v>50</v>
      </c>
      <c r="O137" s="80" t="s">
        <v>296</v>
      </c>
      <c r="P137" s="83" t="s">
        <v>325</v>
      </c>
      <c r="Q137" s="80">
        <v>3</v>
      </c>
      <c r="R137" s="80">
        <v>70</v>
      </c>
      <c r="S137" s="80" t="s">
        <v>298</v>
      </c>
      <c r="T137" s="83" t="s">
        <v>326</v>
      </c>
      <c r="U137" s="80" t="s">
        <v>327</v>
      </c>
      <c r="V137" s="80">
        <v>90</v>
      </c>
      <c r="W137" s="80" t="s">
        <v>301</v>
      </c>
      <c r="X137" s="83" t="s">
        <v>328</v>
      </c>
      <c r="Y137" s="80"/>
      <c r="Z137" s="87" t="s">
        <v>674</v>
      </c>
    </row>
    <row r="138" ht="41" customHeight="1" spans="1:26">
      <c r="A138" s="88" t="s">
        <v>157</v>
      </c>
      <c r="B138" s="88" t="s">
        <v>272</v>
      </c>
      <c r="C138" s="88" t="s">
        <v>172</v>
      </c>
      <c r="D138" s="88" t="s">
        <v>15</v>
      </c>
      <c r="E138" s="81" t="s">
        <v>38</v>
      </c>
      <c r="F138" s="88" t="s">
        <v>39</v>
      </c>
      <c r="G138" s="88">
        <v>0.072</v>
      </c>
      <c r="H138" s="88" t="s">
        <v>675</v>
      </c>
      <c r="I138" s="88">
        <v>183.5</v>
      </c>
      <c r="J138" s="88">
        <v>30</v>
      </c>
      <c r="K138" s="88" t="s">
        <v>294</v>
      </c>
      <c r="L138" s="83" t="s">
        <v>331</v>
      </c>
      <c r="M138" s="88">
        <v>233.1</v>
      </c>
      <c r="N138" s="88">
        <v>50</v>
      </c>
      <c r="O138" s="88" t="s">
        <v>296</v>
      </c>
      <c r="P138" s="83" t="s">
        <v>332</v>
      </c>
      <c r="Q138" s="88">
        <v>293.7</v>
      </c>
      <c r="R138" s="88">
        <v>70</v>
      </c>
      <c r="S138" s="88" t="s">
        <v>298</v>
      </c>
      <c r="T138" s="83" t="s">
        <v>333</v>
      </c>
      <c r="U138" s="88" t="s">
        <v>676</v>
      </c>
      <c r="V138" s="88">
        <v>90</v>
      </c>
      <c r="W138" s="88" t="s">
        <v>301</v>
      </c>
      <c r="X138" s="83" t="s">
        <v>335</v>
      </c>
      <c r="Y138" s="88"/>
      <c r="Z138" s="87" t="s">
        <v>677</v>
      </c>
    </row>
    <row r="139" ht="55" customHeight="1" spans="1:26">
      <c r="A139" s="80" t="s">
        <v>157</v>
      </c>
      <c r="B139" s="80" t="s">
        <v>272</v>
      </c>
      <c r="C139" s="80" t="s">
        <v>172</v>
      </c>
      <c r="D139" s="80" t="s">
        <v>15</v>
      </c>
      <c r="E139" s="81" t="s">
        <v>42</v>
      </c>
      <c r="F139" s="80" t="s">
        <v>9</v>
      </c>
      <c r="G139" s="80">
        <v>0.019</v>
      </c>
      <c r="H139" s="80">
        <v>1</v>
      </c>
      <c r="I139" s="80">
        <v>0.741</v>
      </c>
      <c r="J139" s="80">
        <v>30</v>
      </c>
      <c r="K139" s="80" t="s">
        <v>294</v>
      </c>
      <c r="L139" s="83" t="s">
        <v>337</v>
      </c>
      <c r="M139" s="80">
        <v>0.8705</v>
      </c>
      <c r="N139" s="80">
        <v>50</v>
      </c>
      <c r="O139" s="80" t="s">
        <v>296</v>
      </c>
      <c r="P139" s="83" t="s">
        <v>338</v>
      </c>
      <c r="Q139" s="80">
        <v>1</v>
      </c>
      <c r="R139" s="80">
        <v>70</v>
      </c>
      <c r="S139" s="80" t="s">
        <v>339</v>
      </c>
      <c r="T139" s="83" t="s">
        <v>340</v>
      </c>
      <c r="U139" s="80" t="s">
        <v>279</v>
      </c>
      <c r="V139" s="80"/>
      <c r="W139" s="80"/>
      <c r="X139" s="83" t="s">
        <v>340</v>
      </c>
      <c r="Y139" s="80" t="s">
        <v>341</v>
      </c>
      <c r="Z139" s="87" t="s">
        <v>678</v>
      </c>
    </row>
    <row r="140" ht="55" customHeight="1" spans="1:26">
      <c r="A140" s="88" t="s">
        <v>157</v>
      </c>
      <c r="B140" s="88" t="s">
        <v>272</v>
      </c>
      <c r="C140" s="88" t="s">
        <v>172</v>
      </c>
      <c r="D140" s="88" t="s">
        <v>15</v>
      </c>
      <c r="E140" s="81" t="s">
        <v>23</v>
      </c>
      <c r="F140" s="88" t="s">
        <v>24</v>
      </c>
      <c r="G140" s="88">
        <v>0.096</v>
      </c>
      <c r="H140" s="88" t="s">
        <v>679</v>
      </c>
      <c r="I140" s="88">
        <v>2.1</v>
      </c>
      <c r="J140" s="88">
        <v>30</v>
      </c>
      <c r="K140" s="88" t="s">
        <v>294</v>
      </c>
      <c r="L140" s="83" t="s">
        <v>344</v>
      </c>
      <c r="M140" s="88">
        <v>2.5</v>
      </c>
      <c r="N140" s="88">
        <v>50</v>
      </c>
      <c r="O140" s="88" t="s">
        <v>296</v>
      </c>
      <c r="P140" s="83" t="s">
        <v>345</v>
      </c>
      <c r="Q140" s="88">
        <v>3.1</v>
      </c>
      <c r="R140" s="88">
        <v>70</v>
      </c>
      <c r="S140" s="88" t="s">
        <v>298</v>
      </c>
      <c r="T140" s="83" t="s">
        <v>346</v>
      </c>
      <c r="U140" s="88" t="s">
        <v>680</v>
      </c>
      <c r="V140" s="88">
        <v>90</v>
      </c>
      <c r="W140" s="88" t="s">
        <v>301</v>
      </c>
      <c r="X140" s="83" t="s">
        <v>348</v>
      </c>
      <c r="Y140" s="88"/>
      <c r="Z140" s="87" t="s">
        <v>681</v>
      </c>
    </row>
    <row r="141" ht="55" customHeight="1" spans="1:26">
      <c r="A141" s="80" t="s">
        <v>157</v>
      </c>
      <c r="B141" s="80" t="s">
        <v>272</v>
      </c>
      <c r="C141" s="80" t="s">
        <v>172</v>
      </c>
      <c r="D141" s="80" t="s">
        <v>44</v>
      </c>
      <c r="E141" s="81" t="s">
        <v>45</v>
      </c>
      <c r="F141" s="80" t="s">
        <v>35</v>
      </c>
      <c r="G141" s="80">
        <v>0.035</v>
      </c>
      <c r="H141" s="80" t="s">
        <v>470</v>
      </c>
      <c r="I141" s="80">
        <v>16</v>
      </c>
      <c r="J141" s="80">
        <v>30</v>
      </c>
      <c r="K141" s="80" t="s">
        <v>294</v>
      </c>
      <c r="L141" s="83" t="s">
        <v>352</v>
      </c>
      <c r="M141" s="80">
        <v>42</v>
      </c>
      <c r="N141" s="80">
        <v>50</v>
      </c>
      <c r="O141" s="80" t="s">
        <v>296</v>
      </c>
      <c r="P141" s="83" t="s">
        <v>353</v>
      </c>
      <c r="Q141" s="80">
        <v>76</v>
      </c>
      <c r="R141" s="80">
        <v>70</v>
      </c>
      <c r="S141" s="80" t="s">
        <v>298</v>
      </c>
      <c r="T141" s="83" t="s">
        <v>354</v>
      </c>
      <c r="U141" s="80" t="s">
        <v>471</v>
      </c>
      <c r="V141" s="80">
        <v>90</v>
      </c>
      <c r="W141" s="80" t="s">
        <v>301</v>
      </c>
      <c r="X141" s="83" t="s">
        <v>356</v>
      </c>
      <c r="Y141" s="80"/>
      <c r="Z141" s="87" t="s">
        <v>682</v>
      </c>
    </row>
    <row r="142" ht="55" customHeight="1" spans="1:26">
      <c r="A142" s="88" t="s">
        <v>157</v>
      </c>
      <c r="B142" s="88" t="s">
        <v>272</v>
      </c>
      <c r="C142" s="88" t="s">
        <v>172</v>
      </c>
      <c r="D142" s="88" t="s">
        <v>44</v>
      </c>
      <c r="E142" s="81" t="s">
        <v>48</v>
      </c>
      <c r="F142" s="88" t="s">
        <v>39</v>
      </c>
      <c r="G142" s="88">
        <v>0.015</v>
      </c>
      <c r="H142" s="88" t="s">
        <v>683</v>
      </c>
      <c r="I142" s="88">
        <v>0.29</v>
      </c>
      <c r="J142" s="88">
        <v>30</v>
      </c>
      <c r="K142" s="88" t="s">
        <v>294</v>
      </c>
      <c r="L142" s="83" t="s">
        <v>359</v>
      </c>
      <c r="M142" s="88">
        <v>0.43</v>
      </c>
      <c r="N142" s="88">
        <v>50</v>
      </c>
      <c r="O142" s="88" t="s">
        <v>296</v>
      </c>
      <c r="P142" s="83" t="s">
        <v>360</v>
      </c>
      <c r="Q142" s="88">
        <v>0.67</v>
      </c>
      <c r="R142" s="88">
        <v>70</v>
      </c>
      <c r="S142" s="88" t="s">
        <v>298</v>
      </c>
      <c r="T142" s="83" t="s">
        <v>361</v>
      </c>
      <c r="U142" s="88" t="s">
        <v>684</v>
      </c>
      <c r="V142" s="88">
        <v>90</v>
      </c>
      <c r="W142" s="88" t="s">
        <v>301</v>
      </c>
      <c r="X142" s="83" t="s">
        <v>363</v>
      </c>
      <c r="Y142" s="88"/>
      <c r="Z142" s="87" t="s">
        <v>685</v>
      </c>
    </row>
    <row r="143" ht="82" customHeight="1" spans="1:26">
      <c r="A143" s="80" t="s">
        <v>157</v>
      </c>
      <c r="B143" s="80" t="s">
        <v>272</v>
      </c>
      <c r="C143" s="80" t="s">
        <v>172</v>
      </c>
      <c r="D143" s="80" t="s">
        <v>52</v>
      </c>
      <c r="E143" s="81" t="s">
        <v>190</v>
      </c>
      <c r="F143" s="80" t="s">
        <v>17</v>
      </c>
      <c r="G143" s="80">
        <v>0.06</v>
      </c>
      <c r="H143" s="80" t="s">
        <v>365</v>
      </c>
      <c r="I143" s="80">
        <v>2</v>
      </c>
      <c r="J143" s="80">
        <v>20</v>
      </c>
      <c r="K143" s="80" t="s">
        <v>366</v>
      </c>
      <c r="L143" s="83" t="s">
        <v>367</v>
      </c>
      <c r="M143" s="80">
        <v>3</v>
      </c>
      <c r="N143" s="80">
        <v>70</v>
      </c>
      <c r="O143" s="80" t="s">
        <v>298</v>
      </c>
      <c r="P143" s="83" t="s">
        <v>368</v>
      </c>
      <c r="Q143" s="80">
        <v>4</v>
      </c>
      <c r="R143" s="80">
        <v>90</v>
      </c>
      <c r="S143" s="80" t="s">
        <v>369</v>
      </c>
      <c r="T143" s="83" t="s">
        <v>370</v>
      </c>
      <c r="U143" s="80" t="s">
        <v>371</v>
      </c>
      <c r="V143" s="80">
        <v>90</v>
      </c>
      <c r="W143" s="80" t="s">
        <v>369</v>
      </c>
      <c r="X143" s="83" t="s">
        <v>372</v>
      </c>
      <c r="Y143" s="80" t="s">
        <v>373</v>
      </c>
      <c r="Z143" s="87" t="s">
        <v>686</v>
      </c>
    </row>
    <row r="144" ht="41" customHeight="1" spans="1:26">
      <c r="A144" s="88" t="s">
        <v>157</v>
      </c>
      <c r="B144" s="88" t="s">
        <v>272</v>
      </c>
      <c r="C144" s="88" t="s">
        <v>172</v>
      </c>
      <c r="D144" s="88" t="s">
        <v>56</v>
      </c>
      <c r="E144" s="81" t="s">
        <v>192</v>
      </c>
      <c r="F144" s="88" t="s">
        <v>17</v>
      </c>
      <c r="G144" s="88">
        <v>0.06</v>
      </c>
      <c r="H144" s="88" t="s">
        <v>365</v>
      </c>
      <c r="I144" s="88">
        <v>2</v>
      </c>
      <c r="J144" s="88">
        <v>20</v>
      </c>
      <c r="K144" s="88" t="s">
        <v>375</v>
      </c>
      <c r="L144" s="83" t="s">
        <v>376</v>
      </c>
      <c r="M144" s="88">
        <v>3</v>
      </c>
      <c r="N144" s="88">
        <v>50</v>
      </c>
      <c r="O144" s="88" t="s">
        <v>377</v>
      </c>
      <c r="P144" s="83" t="s">
        <v>378</v>
      </c>
      <c r="Q144" s="88">
        <v>4</v>
      </c>
      <c r="R144" s="88">
        <v>70</v>
      </c>
      <c r="S144" s="88" t="s">
        <v>379</v>
      </c>
      <c r="T144" s="83" t="s">
        <v>380</v>
      </c>
      <c r="U144" s="88" t="s">
        <v>279</v>
      </c>
      <c r="V144" s="88">
        <v>90</v>
      </c>
      <c r="W144" s="88" t="s">
        <v>381</v>
      </c>
      <c r="X144" s="83" t="s">
        <v>382</v>
      </c>
      <c r="Y144" s="88" t="s">
        <v>383</v>
      </c>
      <c r="Z144" s="87" t="s">
        <v>687</v>
      </c>
    </row>
    <row r="145" ht="55" customHeight="1" spans="1:26">
      <c r="A145" s="80" t="s">
        <v>157</v>
      </c>
      <c r="B145" s="80" t="s">
        <v>272</v>
      </c>
      <c r="C145" s="80" t="s">
        <v>193</v>
      </c>
      <c r="D145" s="80" t="s">
        <v>194</v>
      </c>
      <c r="E145" s="81" t="s">
        <v>64</v>
      </c>
      <c r="F145" s="80" t="s">
        <v>65</v>
      </c>
      <c r="G145" s="80">
        <v>0.025</v>
      </c>
      <c r="H145" s="80" t="s">
        <v>688</v>
      </c>
      <c r="I145" s="80">
        <v>1</v>
      </c>
      <c r="J145" s="80">
        <v>30</v>
      </c>
      <c r="K145" s="80" t="s">
        <v>294</v>
      </c>
      <c r="L145" s="83" t="s">
        <v>386</v>
      </c>
      <c r="M145" s="80">
        <v>2</v>
      </c>
      <c r="N145" s="80">
        <v>50</v>
      </c>
      <c r="O145" s="80" t="s">
        <v>296</v>
      </c>
      <c r="P145" s="83" t="s">
        <v>387</v>
      </c>
      <c r="Q145" s="80">
        <v>3</v>
      </c>
      <c r="R145" s="80">
        <v>70</v>
      </c>
      <c r="S145" s="80" t="s">
        <v>298</v>
      </c>
      <c r="T145" s="83" t="s">
        <v>388</v>
      </c>
      <c r="U145" s="80" t="s">
        <v>327</v>
      </c>
      <c r="V145" s="80">
        <v>90</v>
      </c>
      <c r="W145" s="80" t="s">
        <v>301</v>
      </c>
      <c r="X145" s="83" t="s">
        <v>390</v>
      </c>
      <c r="Y145" s="80"/>
      <c r="Z145" s="87" t="s">
        <v>689</v>
      </c>
    </row>
    <row r="146" ht="82" customHeight="1" spans="1:26">
      <c r="A146" s="88" t="s">
        <v>157</v>
      </c>
      <c r="B146" s="88" t="s">
        <v>272</v>
      </c>
      <c r="C146" s="88" t="s">
        <v>193</v>
      </c>
      <c r="D146" s="88" t="s">
        <v>194</v>
      </c>
      <c r="E146" s="81" t="s">
        <v>67</v>
      </c>
      <c r="F146" s="88" t="s">
        <v>65</v>
      </c>
      <c r="G146" s="88">
        <v>0.035</v>
      </c>
      <c r="H146" s="88" t="s">
        <v>690</v>
      </c>
      <c r="I146" s="88">
        <v>9</v>
      </c>
      <c r="J146" s="88">
        <v>30</v>
      </c>
      <c r="K146" s="88" t="s">
        <v>294</v>
      </c>
      <c r="L146" s="83" t="s">
        <v>393</v>
      </c>
      <c r="M146" s="88">
        <v>14</v>
      </c>
      <c r="N146" s="88">
        <v>50</v>
      </c>
      <c r="O146" s="88" t="s">
        <v>296</v>
      </c>
      <c r="P146" s="83" t="s">
        <v>394</v>
      </c>
      <c r="Q146" s="88">
        <v>20</v>
      </c>
      <c r="R146" s="88">
        <v>70</v>
      </c>
      <c r="S146" s="88" t="s">
        <v>298</v>
      </c>
      <c r="T146" s="83" t="s">
        <v>395</v>
      </c>
      <c r="U146" s="88" t="s">
        <v>691</v>
      </c>
      <c r="V146" s="88">
        <v>90</v>
      </c>
      <c r="W146" s="88" t="s">
        <v>397</v>
      </c>
      <c r="X146" s="83" t="s">
        <v>398</v>
      </c>
      <c r="Y146" s="88" t="s">
        <v>399</v>
      </c>
      <c r="Z146" s="87" t="s">
        <v>692</v>
      </c>
    </row>
    <row r="147" ht="41" customHeight="1" spans="1:26">
      <c r="A147" s="80" t="s">
        <v>157</v>
      </c>
      <c r="B147" s="80" t="s">
        <v>272</v>
      </c>
      <c r="C147" s="80" t="s">
        <v>193</v>
      </c>
      <c r="D147" s="80" t="s">
        <v>197</v>
      </c>
      <c r="E147" s="81" t="s">
        <v>60</v>
      </c>
      <c r="F147" s="80" t="s">
        <v>401</v>
      </c>
      <c r="G147" s="80">
        <v>0.02</v>
      </c>
      <c r="H147" s="80" t="s">
        <v>693</v>
      </c>
      <c r="I147" s="80">
        <v>0.54</v>
      </c>
      <c r="J147" s="80">
        <v>30</v>
      </c>
      <c r="K147" s="80" t="s">
        <v>294</v>
      </c>
      <c r="L147" s="83" t="s">
        <v>403</v>
      </c>
      <c r="M147" s="80">
        <v>0.66</v>
      </c>
      <c r="N147" s="80">
        <v>50</v>
      </c>
      <c r="O147" s="80" t="s">
        <v>296</v>
      </c>
      <c r="P147" s="83" t="s">
        <v>404</v>
      </c>
      <c r="Q147" s="80">
        <v>0.85</v>
      </c>
      <c r="R147" s="80">
        <v>70</v>
      </c>
      <c r="S147" s="80" t="s">
        <v>298</v>
      </c>
      <c r="T147" s="83" t="s">
        <v>405</v>
      </c>
      <c r="U147" s="80" t="s">
        <v>694</v>
      </c>
      <c r="V147" s="80">
        <v>90</v>
      </c>
      <c r="W147" s="80" t="s">
        <v>301</v>
      </c>
      <c r="X147" s="83" t="s">
        <v>407</v>
      </c>
      <c r="Y147" s="80"/>
      <c r="Z147" s="87" t="s">
        <v>695</v>
      </c>
    </row>
    <row r="148" ht="68" customHeight="1" spans="1:26">
      <c r="A148" s="88" t="s">
        <v>157</v>
      </c>
      <c r="B148" s="88" t="s">
        <v>272</v>
      </c>
      <c r="C148" s="88" t="s">
        <v>193</v>
      </c>
      <c r="D148" s="88" t="s">
        <v>70</v>
      </c>
      <c r="E148" s="81" t="s">
        <v>70</v>
      </c>
      <c r="F148" s="88" t="s">
        <v>409</v>
      </c>
      <c r="G148" s="88">
        <v>0.02</v>
      </c>
      <c r="H148" s="88" t="s">
        <v>410</v>
      </c>
      <c r="I148" s="88" t="s">
        <v>411</v>
      </c>
      <c r="J148" s="88">
        <v>0</v>
      </c>
      <c r="K148" s="88" t="s">
        <v>412</v>
      </c>
      <c r="L148" s="83" t="s">
        <v>413</v>
      </c>
      <c r="M148" s="88" t="s">
        <v>206</v>
      </c>
      <c r="N148" s="88">
        <v>30</v>
      </c>
      <c r="O148" s="88" t="s">
        <v>414</v>
      </c>
      <c r="P148" s="83" t="s">
        <v>415</v>
      </c>
      <c r="Q148" s="88" t="s">
        <v>416</v>
      </c>
      <c r="R148" s="88">
        <v>70</v>
      </c>
      <c r="S148" s="88" t="s">
        <v>417</v>
      </c>
      <c r="T148" s="83" t="s">
        <v>418</v>
      </c>
      <c r="U148" s="88" t="s">
        <v>201</v>
      </c>
      <c r="V148" s="88">
        <v>90</v>
      </c>
      <c r="W148" s="88" t="s">
        <v>488</v>
      </c>
      <c r="X148" s="83" t="s">
        <v>420</v>
      </c>
      <c r="Y148" s="88" t="s">
        <v>421</v>
      </c>
      <c r="Z148" s="87" t="s">
        <v>696</v>
      </c>
    </row>
    <row r="149" ht="41" customHeight="1" spans="1:26">
      <c r="A149" s="80" t="s">
        <v>157</v>
      </c>
      <c r="B149" s="80" t="s">
        <v>272</v>
      </c>
      <c r="C149" s="80" t="s">
        <v>203</v>
      </c>
      <c r="D149" s="80" t="s">
        <v>279</v>
      </c>
      <c r="E149" s="81" t="s">
        <v>75</v>
      </c>
      <c r="F149" s="80" t="s">
        <v>423</v>
      </c>
      <c r="G149" s="80">
        <v>0.015</v>
      </c>
      <c r="H149" s="80" t="s">
        <v>424</v>
      </c>
      <c r="I149" s="80" t="s">
        <v>201</v>
      </c>
      <c r="J149" s="80">
        <v>20</v>
      </c>
      <c r="K149" s="80" t="s">
        <v>425</v>
      </c>
      <c r="L149" s="83" t="s">
        <v>426</v>
      </c>
      <c r="M149" s="80" t="s">
        <v>416</v>
      </c>
      <c r="N149" s="80">
        <v>60</v>
      </c>
      <c r="O149" s="80" t="s">
        <v>427</v>
      </c>
      <c r="P149" s="83" t="s">
        <v>428</v>
      </c>
      <c r="Q149" s="80" t="s">
        <v>206</v>
      </c>
      <c r="R149" s="80">
        <v>90</v>
      </c>
      <c r="S149" s="80" t="s">
        <v>429</v>
      </c>
      <c r="T149" s="83" t="s">
        <v>430</v>
      </c>
      <c r="U149" s="80" t="s">
        <v>279</v>
      </c>
      <c r="V149" s="80"/>
      <c r="W149" s="80"/>
      <c r="X149" s="85" t="s">
        <v>431</v>
      </c>
      <c r="Y149" s="80"/>
      <c r="Z149" s="87" t="s">
        <v>697</v>
      </c>
    </row>
    <row r="150" ht="41" customHeight="1" spans="1:26">
      <c r="A150" s="88" t="s">
        <v>157</v>
      </c>
      <c r="B150" s="88" t="s">
        <v>272</v>
      </c>
      <c r="C150" s="88" t="s">
        <v>203</v>
      </c>
      <c r="D150" s="88" t="s">
        <v>279</v>
      </c>
      <c r="E150" s="81" t="s">
        <v>78</v>
      </c>
      <c r="F150" s="88" t="s">
        <v>423</v>
      </c>
      <c r="G150" s="88">
        <v>0.02</v>
      </c>
      <c r="H150" s="88" t="s">
        <v>410</v>
      </c>
      <c r="I150" s="88" t="s">
        <v>201</v>
      </c>
      <c r="J150" s="88">
        <v>20</v>
      </c>
      <c r="K150" s="88" t="s">
        <v>433</v>
      </c>
      <c r="L150" s="83" t="s">
        <v>434</v>
      </c>
      <c r="M150" s="88" t="s">
        <v>416</v>
      </c>
      <c r="N150" s="88">
        <v>60</v>
      </c>
      <c r="O150" s="88" t="s">
        <v>435</v>
      </c>
      <c r="P150" s="83" t="s">
        <v>436</v>
      </c>
      <c r="Q150" s="88" t="s">
        <v>206</v>
      </c>
      <c r="R150" s="88">
        <v>90</v>
      </c>
      <c r="S150" s="88" t="s">
        <v>437</v>
      </c>
      <c r="T150" s="83" t="s">
        <v>438</v>
      </c>
      <c r="U150" s="88" t="s">
        <v>279</v>
      </c>
      <c r="V150" s="88"/>
      <c r="W150" s="88"/>
      <c r="X150" s="83" t="s">
        <v>439</v>
      </c>
      <c r="Y150" s="88"/>
      <c r="Z150" s="87" t="s">
        <v>698</v>
      </c>
    </row>
    <row r="151" ht="41" customHeight="1" spans="1:26">
      <c r="A151" s="80" t="s">
        <v>157</v>
      </c>
      <c r="B151" s="80" t="s">
        <v>272</v>
      </c>
      <c r="C151" s="80" t="s">
        <v>203</v>
      </c>
      <c r="D151" s="80" t="s">
        <v>279</v>
      </c>
      <c r="E151" s="81" t="s">
        <v>80</v>
      </c>
      <c r="F151" s="80" t="s">
        <v>423</v>
      </c>
      <c r="G151" s="80">
        <v>0.015</v>
      </c>
      <c r="H151" s="80" t="s">
        <v>424</v>
      </c>
      <c r="I151" s="80" t="s">
        <v>201</v>
      </c>
      <c r="J151" s="80">
        <v>20</v>
      </c>
      <c r="K151" s="80" t="s">
        <v>441</v>
      </c>
      <c r="L151" s="83" t="s">
        <v>442</v>
      </c>
      <c r="M151" s="80" t="s">
        <v>416</v>
      </c>
      <c r="N151" s="80">
        <v>60</v>
      </c>
      <c r="O151" s="80" t="s">
        <v>443</v>
      </c>
      <c r="P151" s="83" t="s">
        <v>444</v>
      </c>
      <c r="Q151" s="80" t="s">
        <v>206</v>
      </c>
      <c r="R151" s="80">
        <v>90</v>
      </c>
      <c r="S151" s="80" t="s">
        <v>445</v>
      </c>
      <c r="T151" s="83" t="s">
        <v>446</v>
      </c>
      <c r="U151" s="80" t="s">
        <v>279</v>
      </c>
      <c r="V151" s="80"/>
      <c r="W151" s="80"/>
      <c r="X151" s="83" t="s">
        <v>447</v>
      </c>
      <c r="Y151" s="80"/>
      <c r="Z151" s="87" t="s">
        <v>699</v>
      </c>
    </row>
    <row r="152" ht="41" customHeight="1" spans="1:26">
      <c r="A152" s="88" t="s">
        <v>157</v>
      </c>
      <c r="B152" s="88" t="s">
        <v>159</v>
      </c>
      <c r="C152" s="88" t="s">
        <v>172</v>
      </c>
      <c r="D152" s="88" t="s">
        <v>173</v>
      </c>
      <c r="E152" s="81" t="s">
        <v>8</v>
      </c>
      <c r="F152" s="88" t="s">
        <v>9</v>
      </c>
      <c r="G152" s="88">
        <v>0.1</v>
      </c>
      <c r="H152" s="88">
        <v>1</v>
      </c>
      <c r="I152" s="88">
        <v>0.849999999999999</v>
      </c>
      <c r="J152" s="88">
        <v>0.1</v>
      </c>
      <c r="K152" s="88" t="s">
        <v>273</v>
      </c>
      <c r="L152" s="83" t="s">
        <v>274</v>
      </c>
      <c r="M152" s="88">
        <v>0.899999999999999</v>
      </c>
      <c r="N152" s="88">
        <v>0.11</v>
      </c>
      <c r="O152" s="88" t="s">
        <v>275</v>
      </c>
      <c r="P152" s="83" t="s">
        <v>276</v>
      </c>
      <c r="Q152" s="88">
        <v>0.99999999999999</v>
      </c>
      <c r="R152" s="88">
        <v>0.12</v>
      </c>
      <c r="S152" s="88" t="s">
        <v>277</v>
      </c>
      <c r="T152" s="83" t="s">
        <v>278</v>
      </c>
      <c r="U152" s="88" t="s">
        <v>279</v>
      </c>
      <c r="V152" s="88">
        <v>0.144</v>
      </c>
      <c r="W152" s="88" t="s">
        <v>280</v>
      </c>
      <c r="X152" s="85" t="s">
        <v>281</v>
      </c>
      <c r="Y152" s="88" t="s">
        <v>282</v>
      </c>
      <c r="Z152" s="87" t="s">
        <v>700</v>
      </c>
    </row>
    <row r="153" ht="41" customHeight="1" spans="1:26">
      <c r="A153" s="80" t="s">
        <v>157</v>
      </c>
      <c r="B153" s="80" t="s">
        <v>159</v>
      </c>
      <c r="C153" s="80" t="s">
        <v>172</v>
      </c>
      <c r="D153" s="80" t="s">
        <v>173</v>
      </c>
      <c r="E153" s="81" t="s">
        <v>12</v>
      </c>
      <c r="F153" s="80" t="s">
        <v>9</v>
      </c>
      <c r="G153" s="80">
        <v>0.1</v>
      </c>
      <c r="H153" s="80">
        <v>0.151</v>
      </c>
      <c r="I153" s="80">
        <v>-1e-17</v>
      </c>
      <c r="J153" s="80">
        <v>0</v>
      </c>
      <c r="K153" s="80" t="s">
        <v>284</v>
      </c>
      <c r="L153" s="83" t="s">
        <v>285</v>
      </c>
      <c r="M153" s="80">
        <v>0.0636</v>
      </c>
      <c r="N153" s="80">
        <v>0.04</v>
      </c>
      <c r="O153" s="80" t="s">
        <v>286</v>
      </c>
      <c r="P153" s="83" t="s">
        <v>287</v>
      </c>
      <c r="Q153" s="80">
        <v>0.151</v>
      </c>
      <c r="R153" s="80">
        <v>0.07</v>
      </c>
      <c r="S153" s="80" t="s">
        <v>288</v>
      </c>
      <c r="T153" s="83" t="s">
        <v>289</v>
      </c>
      <c r="U153" s="80" t="s">
        <v>279</v>
      </c>
      <c r="V153" s="80">
        <v>0.1</v>
      </c>
      <c r="W153" s="80" t="s">
        <v>290</v>
      </c>
      <c r="X153" s="83" t="s">
        <v>291</v>
      </c>
      <c r="Y153" s="80"/>
      <c r="Z153" s="87" t="s">
        <v>701</v>
      </c>
    </row>
    <row r="154" ht="41" customHeight="1" spans="1:26">
      <c r="A154" s="88" t="s">
        <v>157</v>
      </c>
      <c r="B154" s="88" t="s">
        <v>159</v>
      </c>
      <c r="C154" s="88" t="s">
        <v>172</v>
      </c>
      <c r="D154" s="88" t="s">
        <v>15</v>
      </c>
      <c r="E154" s="81" t="s">
        <v>16</v>
      </c>
      <c r="F154" s="88" t="s">
        <v>17</v>
      </c>
      <c r="G154" s="88">
        <v>0.041</v>
      </c>
      <c r="H154" s="88" t="s">
        <v>702</v>
      </c>
      <c r="I154" s="88">
        <v>257</v>
      </c>
      <c r="J154" s="88">
        <v>30</v>
      </c>
      <c r="K154" s="88" t="s">
        <v>294</v>
      </c>
      <c r="L154" s="83" t="s">
        <v>295</v>
      </c>
      <c r="M154" s="88">
        <v>321</v>
      </c>
      <c r="N154" s="88">
        <v>50</v>
      </c>
      <c r="O154" s="88" t="s">
        <v>296</v>
      </c>
      <c r="P154" s="83" t="s">
        <v>297</v>
      </c>
      <c r="Q154" s="88">
        <v>380</v>
      </c>
      <c r="R154" s="88">
        <v>70</v>
      </c>
      <c r="S154" s="88" t="s">
        <v>298</v>
      </c>
      <c r="T154" s="83" t="s">
        <v>299</v>
      </c>
      <c r="U154" s="88" t="s">
        <v>703</v>
      </c>
      <c r="V154" s="88">
        <v>90</v>
      </c>
      <c r="W154" s="88" t="s">
        <v>301</v>
      </c>
      <c r="X154" s="83" t="s">
        <v>302</v>
      </c>
      <c r="Y154" s="88"/>
      <c r="Z154" s="87" t="s">
        <v>704</v>
      </c>
    </row>
    <row r="155" ht="68" customHeight="1" spans="1:26">
      <c r="A155" s="80" t="s">
        <v>157</v>
      </c>
      <c r="B155" s="80" t="s">
        <v>159</v>
      </c>
      <c r="C155" s="80" t="s">
        <v>172</v>
      </c>
      <c r="D155" s="80" t="s">
        <v>15</v>
      </c>
      <c r="E155" s="81" t="s">
        <v>229</v>
      </c>
      <c r="F155" s="80" t="s">
        <v>9</v>
      </c>
      <c r="G155" s="80">
        <v>0.041</v>
      </c>
      <c r="H155" s="80">
        <v>0.175</v>
      </c>
      <c r="I155" s="80">
        <v>0.089</v>
      </c>
      <c r="J155" s="80">
        <v>30</v>
      </c>
      <c r="K155" s="80" t="s">
        <v>294</v>
      </c>
      <c r="L155" s="83" t="s">
        <v>304</v>
      </c>
      <c r="M155" s="80">
        <v>0.112</v>
      </c>
      <c r="N155" s="80">
        <v>50</v>
      </c>
      <c r="O155" s="80" t="s">
        <v>296</v>
      </c>
      <c r="P155" s="83" t="s">
        <v>305</v>
      </c>
      <c r="Q155" s="80">
        <v>0.175</v>
      </c>
      <c r="R155" s="80">
        <v>70</v>
      </c>
      <c r="S155" s="80" t="s">
        <v>298</v>
      </c>
      <c r="T155" s="83" t="s">
        <v>306</v>
      </c>
      <c r="U155" s="80" t="s">
        <v>705</v>
      </c>
      <c r="V155" s="80">
        <v>90</v>
      </c>
      <c r="W155" s="80" t="s">
        <v>301</v>
      </c>
      <c r="X155" s="83" t="s">
        <v>308</v>
      </c>
      <c r="Y155" s="80"/>
      <c r="Z155" s="87" t="s">
        <v>706</v>
      </c>
    </row>
    <row r="156" ht="41" customHeight="1" spans="1:26">
      <c r="A156" s="88" t="s">
        <v>157</v>
      </c>
      <c r="B156" s="88" t="s">
        <v>159</v>
      </c>
      <c r="C156" s="88" t="s">
        <v>172</v>
      </c>
      <c r="D156" s="88" t="s">
        <v>15</v>
      </c>
      <c r="E156" s="81" t="s">
        <v>27</v>
      </c>
      <c r="F156" s="88" t="s">
        <v>9</v>
      </c>
      <c r="G156" s="88">
        <v>0.09</v>
      </c>
      <c r="H156" s="88">
        <v>0.941</v>
      </c>
      <c r="I156" s="88">
        <v>0.782</v>
      </c>
      <c r="J156" s="88">
        <v>30</v>
      </c>
      <c r="K156" s="88" t="s">
        <v>294</v>
      </c>
      <c r="L156" s="83" t="s">
        <v>310</v>
      </c>
      <c r="M156" s="88">
        <v>0.881</v>
      </c>
      <c r="N156" s="88">
        <v>50</v>
      </c>
      <c r="O156" s="88" t="s">
        <v>296</v>
      </c>
      <c r="P156" s="83" t="s">
        <v>311</v>
      </c>
      <c r="Q156" s="88">
        <v>0.941</v>
      </c>
      <c r="R156" s="88">
        <v>70</v>
      </c>
      <c r="S156" s="88" t="s">
        <v>298</v>
      </c>
      <c r="T156" s="83" t="s">
        <v>312</v>
      </c>
      <c r="U156" s="88" t="s">
        <v>501</v>
      </c>
      <c r="V156" s="88">
        <v>90</v>
      </c>
      <c r="W156" s="88" t="s">
        <v>301</v>
      </c>
      <c r="X156" s="83" t="s">
        <v>314</v>
      </c>
      <c r="Y156" s="88"/>
      <c r="Z156" s="87" t="s">
        <v>707</v>
      </c>
    </row>
    <row r="157" ht="41" customHeight="1" spans="1:26">
      <c r="A157" s="80" t="s">
        <v>157</v>
      </c>
      <c r="B157" s="80" t="s">
        <v>159</v>
      </c>
      <c r="C157" s="80" t="s">
        <v>172</v>
      </c>
      <c r="D157" s="80" t="s">
        <v>15</v>
      </c>
      <c r="E157" s="81" t="s">
        <v>30</v>
      </c>
      <c r="F157" s="80" t="s">
        <v>17</v>
      </c>
      <c r="G157" s="80">
        <v>0.045</v>
      </c>
      <c r="H157" s="80" t="s">
        <v>708</v>
      </c>
      <c r="I157" s="80">
        <v>53.5</v>
      </c>
      <c r="J157" s="80">
        <v>30</v>
      </c>
      <c r="K157" s="80" t="s">
        <v>294</v>
      </c>
      <c r="L157" s="83" t="s">
        <v>317</v>
      </c>
      <c r="M157" s="80">
        <v>65</v>
      </c>
      <c r="N157" s="80">
        <v>50</v>
      </c>
      <c r="O157" s="80" t="s">
        <v>296</v>
      </c>
      <c r="P157" s="83" t="s">
        <v>318</v>
      </c>
      <c r="Q157" s="80">
        <v>78.08</v>
      </c>
      <c r="R157" s="80">
        <v>70</v>
      </c>
      <c r="S157" s="80" t="s">
        <v>298</v>
      </c>
      <c r="T157" s="83" t="s">
        <v>319</v>
      </c>
      <c r="U157" s="80" t="s">
        <v>709</v>
      </c>
      <c r="V157" s="80">
        <v>90</v>
      </c>
      <c r="W157" s="80" t="s">
        <v>301</v>
      </c>
      <c r="X157" s="83" t="s">
        <v>321</v>
      </c>
      <c r="Y157" s="80"/>
      <c r="Z157" s="87" t="s">
        <v>710</v>
      </c>
    </row>
    <row r="158" ht="55" customHeight="1" spans="1:26">
      <c r="A158" s="88" t="s">
        <v>157</v>
      </c>
      <c r="B158" s="88" t="s">
        <v>159</v>
      </c>
      <c r="C158" s="88" t="s">
        <v>172</v>
      </c>
      <c r="D158" s="88" t="s">
        <v>15</v>
      </c>
      <c r="E158" s="81" t="s">
        <v>34</v>
      </c>
      <c r="F158" s="88" t="s">
        <v>17</v>
      </c>
      <c r="G158" s="88">
        <v>0.023</v>
      </c>
      <c r="H158" s="88" t="s">
        <v>506</v>
      </c>
      <c r="I158" s="88">
        <v>2</v>
      </c>
      <c r="J158" s="88">
        <v>30</v>
      </c>
      <c r="K158" s="88" t="s">
        <v>294</v>
      </c>
      <c r="L158" s="83" t="s">
        <v>324</v>
      </c>
      <c r="M158" s="88">
        <v>3</v>
      </c>
      <c r="N158" s="88">
        <v>50</v>
      </c>
      <c r="O158" s="88" t="s">
        <v>296</v>
      </c>
      <c r="P158" s="83" t="s">
        <v>325</v>
      </c>
      <c r="Q158" s="88">
        <v>4</v>
      </c>
      <c r="R158" s="88">
        <v>70</v>
      </c>
      <c r="S158" s="88" t="s">
        <v>298</v>
      </c>
      <c r="T158" s="83" t="s">
        <v>326</v>
      </c>
      <c r="U158" s="88" t="s">
        <v>389</v>
      </c>
      <c r="V158" s="88">
        <v>90</v>
      </c>
      <c r="W158" s="88" t="s">
        <v>301</v>
      </c>
      <c r="X158" s="83" t="s">
        <v>328</v>
      </c>
      <c r="Y158" s="88"/>
      <c r="Z158" s="87" t="s">
        <v>711</v>
      </c>
    </row>
    <row r="159" ht="41" customHeight="1" spans="1:26">
      <c r="A159" s="80" t="s">
        <v>157</v>
      </c>
      <c r="B159" s="80" t="s">
        <v>159</v>
      </c>
      <c r="C159" s="80" t="s">
        <v>172</v>
      </c>
      <c r="D159" s="80" t="s">
        <v>15</v>
      </c>
      <c r="E159" s="81" t="s">
        <v>38</v>
      </c>
      <c r="F159" s="80" t="s">
        <v>39</v>
      </c>
      <c r="G159" s="80">
        <v>0.086</v>
      </c>
      <c r="H159" s="80" t="s">
        <v>712</v>
      </c>
      <c r="I159" s="80">
        <v>341.4</v>
      </c>
      <c r="J159" s="80">
        <v>30</v>
      </c>
      <c r="K159" s="80" t="s">
        <v>294</v>
      </c>
      <c r="L159" s="83" t="s">
        <v>331</v>
      </c>
      <c r="M159" s="80">
        <v>384.3</v>
      </c>
      <c r="N159" s="80">
        <v>50</v>
      </c>
      <c r="O159" s="80" t="s">
        <v>296</v>
      </c>
      <c r="P159" s="83" t="s">
        <v>332</v>
      </c>
      <c r="Q159" s="80">
        <v>490.9</v>
      </c>
      <c r="R159" s="80">
        <v>70</v>
      </c>
      <c r="S159" s="80" t="s">
        <v>298</v>
      </c>
      <c r="T159" s="83" t="s">
        <v>333</v>
      </c>
      <c r="U159" s="80" t="s">
        <v>713</v>
      </c>
      <c r="V159" s="80">
        <v>90</v>
      </c>
      <c r="W159" s="80" t="s">
        <v>301</v>
      </c>
      <c r="X159" s="83" t="s">
        <v>335</v>
      </c>
      <c r="Y159" s="80"/>
      <c r="Z159" s="87" t="s">
        <v>714</v>
      </c>
    </row>
    <row r="160" ht="55" customHeight="1" spans="1:26">
      <c r="A160" s="88" t="s">
        <v>157</v>
      </c>
      <c r="B160" s="88" t="s">
        <v>159</v>
      </c>
      <c r="C160" s="88" t="s">
        <v>172</v>
      </c>
      <c r="D160" s="88" t="s">
        <v>15</v>
      </c>
      <c r="E160" s="81" t="s">
        <v>42</v>
      </c>
      <c r="F160" s="88" t="s">
        <v>9</v>
      </c>
      <c r="G160" s="88">
        <v>0.014</v>
      </c>
      <c r="H160" s="88">
        <v>1</v>
      </c>
      <c r="I160" s="88">
        <v>0.791</v>
      </c>
      <c r="J160" s="88">
        <v>30</v>
      </c>
      <c r="K160" s="88" t="s">
        <v>294</v>
      </c>
      <c r="L160" s="83" t="s">
        <v>337</v>
      </c>
      <c r="M160" s="88">
        <v>0.8955</v>
      </c>
      <c r="N160" s="88">
        <v>50</v>
      </c>
      <c r="O160" s="88" t="s">
        <v>296</v>
      </c>
      <c r="P160" s="83" t="s">
        <v>338</v>
      </c>
      <c r="Q160" s="88">
        <v>1</v>
      </c>
      <c r="R160" s="88">
        <v>70</v>
      </c>
      <c r="S160" s="88" t="s">
        <v>339</v>
      </c>
      <c r="T160" s="83" t="s">
        <v>340</v>
      </c>
      <c r="U160" s="88" t="s">
        <v>279</v>
      </c>
      <c r="V160" s="88"/>
      <c r="W160" s="88"/>
      <c r="X160" s="83" t="s">
        <v>340</v>
      </c>
      <c r="Y160" s="88" t="s">
        <v>341</v>
      </c>
      <c r="Z160" s="87" t="s">
        <v>715</v>
      </c>
    </row>
    <row r="161" ht="55" customHeight="1" spans="1:26">
      <c r="A161" s="80" t="s">
        <v>157</v>
      </c>
      <c r="B161" s="80" t="s">
        <v>159</v>
      </c>
      <c r="C161" s="80" t="s">
        <v>172</v>
      </c>
      <c r="D161" s="80" t="s">
        <v>15</v>
      </c>
      <c r="E161" s="81" t="s">
        <v>23</v>
      </c>
      <c r="F161" s="80" t="s">
        <v>24</v>
      </c>
      <c r="G161" s="80">
        <v>0.109</v>
      </c>
      <c r="H161" s="80" t="s">
        <v>716</v>
      </c>
      <c r="I161" s="80">
        <v>3</v>
      </c>
      <c r="J161" s="80">
        <v>30</v>
      </c>
      <c r="K161" s="80" t="s">
        <v>294</v>
      </c>
      <c r="L161" s="83" t="s">
        <v>344</v>
      </c>
      <c r="M161" s="80">
        <v>3.7</v>
      </c>
      <c r="N161" s="80">
        <v>50</v>
      </c>
      <c r="O161" s="80" t="s">
        <v>296</v>
      </c>
      <c r="P161" s="83" t="s">
        <v>345</v>
      </c>
      <c r="Q161" s="80">
        <v>4.4</v>
      </c>
      <c r="R161" s="80">
        <v>70</v>
      </c>
      <c r="S161" s="80" t="s">
        <v>298</v>
      </c>
      <c r="T161" s="83" t="s">
        <v>346</v>
      </c>
      <c r="U161" s="80" t="s">
        <v>717</v>
      </c>
      <c r="V161" s="80">
        <v>90</v>
      </c>
      <c r="W161" s="80" t="s">
        <v>301</v>
      </c>
      <c r="X161" s="83" t="s">
        <v>348</v>
      </c>
      <c r="Y161" s="80"/>
      <c r="Z161" s="87" t="s">
        <v>718</v>
      </c>
    </row>
    <row r="162" ht="55" customHeight="1" spans="1:26">
      <c r="A162" s="88" t="s">
        <v>157</v>
      </c>
      <c r="B162" s="88" t="s">
        <v>159</v>
      </c>
      <c r="C162" s="88" t="s">
        <v>172</v>
      </c>
      <c r="D162" s="88" t="s">
        <v>44</v>
      </c>
      <c r="E162" s="81" t="s">
        <v>45</v>
      </c>
      <c r="F162" s="88" t="s">
        <v>35</v>
      </c>
      <c r="G162" s="88">
        <v>0.025</v>
      </c>
      <c r="H162" s="88" t="s">
        <v>719</v>
      </c>
      <c r="I162" s="88">
        <v>45</v>
      </c>
      <c r="J162" s="88">
        <v>30</v>
      </c>
      <c r="K162" s="88" t="s">
        <v>294</v>
      </c>
      <c r="L162" s="83" t="s">
        <v>352</v>
      </c>
      <c r="M162" s="88">
        <v>72</v>
      </c>
      <c r="N162" s="88">
        <v>50</v>
      </c>
      <c r="O162" s="88" t="s">
        <v>296</v>
      </c>
      <c r="P162" s="83" t="s">
        <v>353</v>
      </c>
      <c r="Q162" s="88">
        <v>127</v>
      </c>
      <c r="R162" s="88">
        <v>70</v>
      </c>
      <c r="S162" s="88" t="s">
        <v>298</v>
      </c>
      <c r="T162" s="83" t="s">
        <v>354</v>
      </c>
      <c r="U162" s="88" t="s">
        <v>720</v>
      </c>
      <c r="V162" s="88">
        <v>90</v>
      </c>
      <c r="W162" s="88" t="s">
        <v>301</v>
      </c>
      <c r="X162" s="83" t="s">
        <v>356</v>
      </c>
      <c r="Y162" s="88"/>
      <c r="Z162" s="87" t="s">
        <v>721</v>
      </c>
    </row>
    <row r="163" ht="55" customHeight="1" spans="1:26">
      <c r="A163" s="80" t="s">
        <v>157</v>
      </c>
      <c r="B163" s="80" t="s">
        <v>159</v>
      </c>
      <c r="C163" s="80" t="s">
        <v>172</v>
      </c>
      <c r="D163" s="80" t="s">
        <v>44</v>
      </c>
      <c r="E163" s="81" t="s">
        <v>48</v>
      </c>
      <c r="F163" s="80" t="s">
        <v>39</v>
      </c>
      <c r="G163" s="80">
        <v>0.025</v>
      </c>
      <c r="H163" s="80" t="s">
        <v>722</v>
      </c>
      <c r="I163" s="80">
        <v>0.4</v>
      </c>
      <c r="J163" s="80">
        <v>30</v>
      </c>
      <c r="K163" s="80" t="s">
        <v>294</v>
      </c>
      <c r="L163" s="83" t="s">
        <v>359</v>
      </c>
      <c r="M163" s="80">
        <v>0.72</v>
      </c>
      <c r="N163" s="80">
        <v>50</v>
      </c>
      <c r="O163" s="80" t="s">
        <v>296</v>
      </c>
      <c r="P163" s="83" t="s">
        <v>360</v>
      </c>
      <c r="Q163" s="80">
        <v>1.01</v>
      </c>
      <c r="R163" s="80">
        <v>70</v>
      </c>
      <c r="S163" s="80" t="s">
        <v>298</v>
      </c>
      <c r="T163" s="83" t="s">
        <v>361</v>
      </c>
      <c r="U163" s="80" t="s">
        <v>723</v>
      </c>
      <c r="V163" s="80">
        <v>90</v>
      </c>
      <c r="W163" s="80" t="s">
        <v>301</v>
      </c>
      <c r="X163" s="83" t="s">
        <v>363</v>
      </c>
      <c r="Y163" s="80"/>
      <c r="Z163" s="87" t="s">
        <v>724</v>
      </c>
    </row>
    <row r="164" ht="82" customHeight="1" spans="1:26">
      <c r="A164" s="88" t="s">
        <v>157</v>
      </c>
      <c r="B164" s="88" t="s">
        <v>159</v>
      </c>
      <c r="C164" s="88" t="s">
        <v>172</v>
      </c>
      <c r="D164" s="88" t="s">
        <v>52</v>
      </c>
      <c r="E164" s="81" t="s">
        <v>190</v>
      </c>
      <c r="F164" s="88" t="s">
        <v>17</v>
      </c>
      <c r="G164" s="88">
        <v>0.06</v>
      </c>
      <c r="H164" s="88" t="s">
        <v>365</v>
      </c>
      <c r="I164" s="88">
        <v>2</v>
      </c>
      <c r="J164" s="88">
        <v>20</v>
      </c>
      <c r="K164" s="88" t="s">
        <v>366</v>
      </c>
      <c r="L164" s="83" t="s">
        <v>367</v>
      </c>
      <c r="M164" s="88">
        <v>3</v>
      </c>
      <c r="N164" s="88">
        <v>70</v>
      </c>
      <c r="O164" s="88" t="s">
        <v>298</v>
      </c>
      <c r="P164" s="83" t="s">
        <v>368</v>
      </c>
      <c r="Q164" s="88">
        <v>4</v>
      </c>
      <c r="R164" s="88">
        <v>90</v>
      </c>
      <c r="S164" s="88" t="s">
        <v>369</v>
      </c>
      <c r="T164" s="83" t="s">
        <v>370</v>
      </c>
      <c r="U164" s="88" t="s">
        <v>371</v>
      </c>
      <c r="V164" s="88">
        <v>90</v>
      </c>
      <c r="W164" s="88" t="s">
        <v>369</v>
      </c>
      <c r="X164" s="83" t="s">
        <v>372</v>
      </c>
      <c r="Y164" s="88" t="s">
        <v>373</v>
      </c>
      <c r="Z164" s="87" t="s">
        <v>725</v>
      </c>
    </row>
    <row r="165" ht="41" customHeight="1" spans="1:26">
      <c r="A165" s="80" t="s">
        <v>157</v>
      </c>
      <c r="B165" s="80" t="s">
        <v>159</v>
      </c>
      <c r="C165" s="80" t="s">
        <v>172</v>
      </c>
      <c r="D165" s="80" t="s">
        <v>56</v>
      </c>
      <c r="E165" s="81" t="s">
        <v>192</v>
      </c>
      <c r="F165" s="80" t="s">
        <v>17</v>
      </c>
      <c r="G165" s="80">
        <v>0.06</v>
      </c>
      <c r="H165" s="80" t="s">
        <v>522</v>
      </c>
      <c r="I165" s="80">
        <v>2</v>
      </c>
      <c r="J165" s="80">
        <v>20</v>
      </c>
      <c r="K165" s="80" t="s">
        <v>375</v>
      </c>
      <c r="L165" s="83" t="s">
        <v>376</v>
      </c>
      <c r="M165" s="80">
        <v>3</v>
      </c>
      <c r="N165" s="80">
        <v>50</v>
      </c>
      <c r="O165" s="80" t="s">
        <v>377</v>
      </c>
      <c r="P165" s="83" t="s">
        <v>378</v>
      </c>
      <c r="Q165" s="80">
        <v>4</v>
      </c>
      <c r="R165" s="80">
        <v>70</v>
      </c>
      <c r="S165" s="80" t="s">
        <v>379</v>
      </c>
      <c r="T165" s="83" t="s">
        <v>380</v>
      </c>
      <c r="U165" s="80" t="s">
        <v>279</v>
      </c>
      <c r="V165" s="80">
        <v>90</v>
      </c>
      <c r="W165" s="80" t="s">
        <v>381</v>
      </c>
      <c r="X165" s="83" t="s">
        <v>382</v>
      </c>
      <c r="Y165" s="80" t="s">
        <v>383</v>
      </c>
      <c r="Z165" s="87" t="s">
        <v>726</v>
      </c>
    </row>
    <row r="166" ht="55" customHeight="1" spans="1:26">
      <c r="A166" s="88" t="s">
        <v>157</v>
      </c>
      <c r="B166" s="88" t="s">
        <v>159</v>
      </c>
      <c r="C166" s="88" t="s">
        <v>193</v>
      </c>
      <c r="D166" s="88" t="s">
        <v>194</v>
      </c>
      <c r="E166" s="81" t="s">
        <v>64</v>
      </c>
      <c r="F166" s="88" t="s">
        <v>65</v>
      </c>
      <c r="G166" s="88">
        <v>0.03</v>
      </c>
      <c r="H166" s="88" t="s">
        <v>570</v>
      </c>
      <c r="I166" s="88">
        <v>1</v>
      </c>
      <c r="J166" s="88">
        <v>30</v>
      </c>
      <c r="K166" s="88" t="s">
        <v>294</v>
      </c>
      <c r="L166" s="83" t="s">
        <v>386</v>
      </c>
      <c r="M166" s="88">
        <v>2</v>
      </c>
      <c r="N166" s="88">
        <v>50</v>
      </c>
      <c r="O166" s="88" t="s">
        <v>296</v>
      </c>
      <c r="P166" s="83" t="s">
        <v>387</v>
      </c>
      <c r="Q166" s="88">
        <v>5</v>
      </c>
      <c r="R166" s="88">
        <v>70</v>
      </c>
      <c r="S166" s="88" t="s">
        <v>298</v>
      </c>
      <c r="T166" s="83" t="s">
        <v>388</v>
      </c>
      <c r="U166" s="88" t="s">
        <v>571</v>
      </c>
      <c r="V166" s="88">
        <v>90</v>
      </c>
      <c r="W166" s="88" t="s">
        <v>301</v>
      </c>
      <c r="X166" s="83" t="s">
        <v>390</v>
      </c>
      <c r="Y166" s="88"/>
      <c r="Z166" s="87" t="s">
        <v>727</v>
      </c>
    </row>
    <row r="167" ht="82" customHeight="1" spans="1:26">
      <c r="A167" s="80" t="s">
        <v>157</v>
      </c>
      <c r="B167" s="80" t="s">
        <v>159</v>
      </c>
      <c r="C167" s="80" t="s">
        <v>193</v>
      </c>
      <c r="D167" s="80" t="s">
        <v>194</v>
      </c>
      <c r="E167" s="81" t="s">
        <v>67</v>
      </c>
      <c r="F167" s="80" t="s">
        <v>65</v>
      </c>
      <c r="G167" s="80">
        <v>0.029</v>
      </c>
      <c r="H167" s="80" t="s">
        <v>728</v>
      </c>
      <c r="I167" s="80">
        <v>13</v>
      </c>
      <c r="J167" s="80">
        <v>30</v>
      </c>
      <c r="K167" s="80" t="s">
        <v>294</v>
      </c>
      <c r="L167" s="83" t="s">
        <v>393</v>
      </c>
      <c r="M167" s="80">
        <v>24</v>
      </c>
      <c r="N167" s="80">
        <v>50</v>
      </c>
      <c r="O167" s="80" t="s">
        <v>296</v>
      </c>
      <c r="P167" s="83" t="s">
        <v>394</v>
      </c>
      <c r="Q167" s="80">
        <v>28</v>
      </c>
      <c r="R167" s="80">
        <v>70</v>
      </c>
      <c r="S167" s="80" t="s">
        <v>298</v>
      </c>
      <c r="T167" s="83" t="s">
        <v>395</v>
      </c>
      <c r="U167" s="80" t="s">
        <v>729</v>
      </c>
      <c r="V167" s="80">
        <v>90</v>
      </c>
      <c r="W167" s="80" t="s">
        <v>397</v>
      </c>
      <c r="X167" s="83" t="s">
        <v>398</v>
      </c>
      <c r="Y167" s="80" t="s">
        <v>399</v>
      </c>
      <c r="Z167" s="87" t="s">
        <v>730</v>
      </c>
    </row>
    <row r="168" ht="41" customHeight="1" spans="1:26">
      <c r="A168" s="88" t="s">
        <v>157</v>
      </c>
      <c r="B168" s="88" t="s">
        <v>159</v>
      </c>
      <c r="C168" s="88" t="s">
        <v>193</v>
      </c>
      <c r="D168" s="88" t="s">
        <v>197</v>
      </c>
      <c r="E168" s="81" t="s">
        <v>60</v>
      </c>
      <c r="F168" s="88" t="s">
        <v>401</v>
      </c>
      <c r="G168" s="88">
        <v>0.039</v>
      </c>
      <c r="H168" s="88" t="s">
        <v>731</v>
      </c>
      <c r="I168" s="88">
        <v>0.84</v>
      </c>
      <c r="J168" s="88">
        <v>30</v>
      </c>
      <c r="K168" s="88" t="s">
        <v>294</v>
      </c>
      <c r="L168" s="83" t="s">
        <v>403</v>
      </c>
      <c r="M168" s="88">
        <v>1.12</v>
      </c>
      <c r="N168" s="88">
        <v>50</v>
      </c>
      <c r="O168" s="88" t="s">
        <v>296</v>
      </c>
      <c r="P168" s="83" t="s">
        <v>404</v>
      </c>
      <c r="Q168" s="88">
        <v>1.38</v>
      </c>
      <c r="R168" s="88">
        <v>70</v>
      </c>
      <c r="S168" s="88" t="s">
        <v>298</v>
      </c>
      <c r="T168" s="83" t="s">
        <v>405</v>
      </c>
      <c r="U168" s="88" t="s">
        <v>732</v>
      </c>
      <c r="V168" s="88">
        <v>90</v>
      </c>
      <c r="W168" s="88" t="s">
        <v>301</v>
      </c>
      <c r="X168" s="83" t="s">
        <v>407</v>
      </c>
      <c r="Y168" s="88"/>
      <c r="Z168" s="87" t="s">
        <v>733</v>
      </c>
    </row>
    <row r="169" ht="68" customHeight="1" spans="1:26">
      <c r="A169" s="80" t="s">
        <v>157</v>
      </c>
      <c r="B169" s="80" t="s">
        <v>159</v>
      </c>
      <c r="C169" s="80" t="s">
        <v>193</v>
      </c>
      <c r="D169" s="80" t="s">
        <v>70</v>
      </c>
      <c r="E169" s="81" t="s">
        <v>70</v>
      </c>
      <c r="F169" s="80" t="s">
        <v>409</v>
      </c>
      <c r="G169" s="80">
        <v>0.033</v>
      </c>
      <c r="H169" s="80" t="s">
        <v>487</v>
      </c>
      <c r="I169" s="80" t="s">
        <v>411</v>
      </c>
      <c r="J169" s="80">
        <v>0</v>
      </c>
      <c r="K169" s="80" t="s">
        <v>412</v>
      </c>
      <c r="L169" s="83" t="s">
        <v>413</v>
      </c>
      <c r="M169" s="80" t="s">
        <v>206</v>
      </c>
      <c r="N169" s="80">
        <v>30</v>
      </c>
      <c r="O169" s="80" t="s">
        <v>414</v>
      </c>
      <c r="P169" s="83" t="s">
        <v>415</v>
      </c>
      <c r="Q169" s="80" t="s">
        <v>416</v>
      </c>
      <c r="R169" s="80">
        <v>70</v>
      </c>
      <c r="S169" s="80" t="s">
        <v>417</v>
      </c>
      <c r="T169" s="83" t="s">
        <v>418</v>
      </c>
      <c r="U169" s="80" t="s">
        <v>201</v>
      </c>
      <c r="V169" s="80">
        <v>90</v>
      </c>
      <c r="W169" s="80" t="s">
        <v>488</v>
      </c>
      <c r="X169" s="83" t="s">
        <v>420</v>
      </c>
      <c r="Y169" s="80" t="s">
        <v>421</v>
      </c>
      <c r="Z169" s="87" t="s">
        <v>734</v>
      </c>
    </row>
    <row r="170" ht="41" customHeight="1" spans="1:26">
      <c r="A170" s="88" t="s">
        <v>157</v>
      </c>
      <c r="B170" s="88" t="s">
        <v>159</v>
      </c>
      <c r="C170" s="88" t="s">
        <v>203</v>
      </c>
      <c r="D170" s="88" t="s">
        <v>279</v>
      </c>
      <c r="E170" s="81" t="s">
        <v>75</v>
      </c>
      <c r="F170" s="88" t="s">
        <v>423</v>
      </c>
      <c r="G170" s="88">
        <v>0.015</v>
      </c>
      <c r="H170" s="88" t="s">
        <v>424</v>
      </c>
      <c r="I170" s="88" t="s">
        <v>201</v>
      </c>
      <c r="J170" s="88">
        <v>20</v>
      </c>
      <c r="K170" s="88" t="s">
        <v>425</v>
      </c>
      <c r="L170" s="83" t="s">
        <v>426</v>
      </c>
      <c r="M170" s="88" t="s">
        <v>416</v>
      </c>
      <c r="N170" s="88">
        <v>60</v>
      </c>
      <c r="O170" s="88" t="s">
        <v>427</v>
      </c>
      <c r="P170" s="83" t="s">
        <v>428</v>
      </c>
      <c r="Q170" s="88" t="s">
        <v>206</v>
      </c>
      <c r="R170" s="88">
        <v>90</v>
      </c>
      <c r="S170" s="88" t="s">
        <v>429</v>
      </c>
      <c r="T170" s="83" t="s">
        <v>430</v>
      </c>
      <c r="U170" s="88" t="s">
        <v>279</v>
      </c>
      <c r="V170" s="88"/>
      <c r="W170" s="88"/>
      <c r="X170" s="85" t="s">
        <v>431</v>
      </c>
      <c r="Y170" s="88"/>
      <c r="Z170" s="87" t="s">
        <v>735</v>
      </c>
    </row>
    <row r="171" ht="41" customHeight="1" spans="1:26">
      <c r="A171" s="80" t="s">
        <v>157</v>
      </c>
      <c r="B171" s="80" t="s">
        <v>159</v>
      </c>
      <c r="C171" s="80" t="s">
        <v>203</v>
      </c>
      <c r="D171" s="80" t="s">
        <v>279</v>
      </c>
      <c r="E171" s="81" t="s">
        <v>78</v>
      </c>
      <c r="F171" s="80" t="s">
        <v>423</v>
      </c>
      <c r="G171" s="80">
        <v>0.02</v>
      </c>
      <c r="H171" s="80" t="s">
        <v>410</v>
      </c>
      <c r="I171" s="80" t="s">
        <v>201</v>
      </c>
      <c r="J171" s="80">
        <v>20</v>
      </c>
      <c r="K171" s="80" t="s">
        <v>433</v>
      </c>
      <c r="L171" s="83" t="s">
        <v>434</v>
      </c>
      <c r="M171" s="80" t="s">
        <v>416</v>
      </c>
      <c r="N171" s="80">
        <v>60</v>
      </c>
      <c r="O171" s="80" t="s">
        <v>435</v>
      </c>
      <c r="P171" s="83" t="s">
        <v>436</v>
      </c>
      <c r="Q171" s="80" t="s">
        <v>206</v>
      </c>
      <c r="R171" s="80">
        <v>90</v>
      </c>
      <c r="S171" s="80" t="s">
        <v>437</v>
      </c>
      <c r="T171" s="83" t="s">
        <v>438</v>
      </c>
      <c r="U171" s="80" t="s">
        <v>279</v>
      </c>
      <c r="V171" s="80"/>
      <c r="W171" s="80"/>
      <c r="X171" s="83" t="s">
        <v>439</v>
      </c>
      <c r="Y171" s="80"/>
      <c r="Z171" s="87" t="s">
        <v>736</v>
      </c>
    </row>
    <row r="172" ht="41" customHeight="1" spans="1:26">
      <c r="A172" s="88" t="s">
        <v>157</v>
      </c>
      <c r="B172" s="88" t="s">
        <v>159</v>
      </c>
      <c r="C172" s="88" t="s">
        <v>203</v>
      </c>
      <c r="D172" s="88" t="s">
        <v>279</v>
      </c>
      <c r="E172" s="81" t="s">
        <v>80</v>
      </c>
      <c r="F172" s="88" t="s">
        <v>423</v>
      </c>
      <c r="G172" s="88">
        <v>0.015</v>
      </c>
      <c r="H172" s="88" t="s">
        <v>424</v>
      </c>
      <c r="I172" s="88" t="s">
        <v>201</v>
      </c>
      <c r="J172" s="88">
        <v>20</v>
      </c>
      <c r="K172" s="88" t="s">
        <v>441</v>
      </c>
      <c r="L172" s="83" t="s">
        <v>442</v>
      </c>
      <c r="M172" s="88" t="s">
        <v>416</v>
      </c>
      <c r="N172" s="88">
        <v>60</v>
      </c>
      <c r="O172" s="88" t="s">
        <v>443</v>
      </c>
      <c r="P172" s="83" t="s">
        <v>444</v>
      </c>
      <c r="Q172" s="88" t="s">
        <v>206</v>
      </c>
      <c r="R172" s="88">
        <v>90</v>
      </c>
      <c r="S172" s="88" t="s">
        <v>445</v>
      </c>
      <c r="T172" s="83" t="s">
        <v>446</v>
      </c>
      <c r="U172" s="88" t="s">
        <v>279</v>
      </c>
      <c r="V172" s="88"/>
      <c r="W172" s="88"/>
      <c r="X172" s="83" t="s">
        <v>447</v>
      </c>
      <c r="Y172" s="88"/>
      <c r="Z172" s="87" t="s">
        <v>737</v>
      </c>
    </row>
    <row r="173" ht="41" customHeight="1" spans="1:26">
      <c r="A173" s="80" t="s">
        <v>157</v>
      </c>
      <c r="B173" s="80" t="s">
        <v>493</v>
      </c>
      <c r="C173" s="80" t="s">
        <v>172</v>
      </c>
      <c r="D173" s="80" t="s">
        <v>173</v>
      </c>
      <c r="E173" s="81" t="s">
        <v>8</v>
      </c>
      <c r="F173" s="80" t="s">
        <v>9</v>
      </c>
      <c r="G173" s="80">
        <v>0.1</v>
      </c>
      <c r="H173" s="80">
        <v>1</v>
      </c>
      <c r="I173" s="80">
        <v>0.849999999999999</v>
      </c>
      <c r="J173" s="80">
        <v>0.1</v>
      </c>
      <c r="K173" s="80" t="s">
        <v>273</v>
      </c>
      <c r="L173" s="83" t="s">
        <v>274</v>
      </c>
      <c r="M173" s="80">
        <v>0.899999999999999</v>
      </c>
      <c r="N173" s="80">
        <v>0.11</v>
      </c>
      <c r="O173" s="80" t="s">
        <v>275</v>
      </c>
      <c r="P173" s="83" t="s">
        <v>276</v>
      </c>
      <c r="Q173" s="80">
        <v>0.99999999999999</v>
      </c>
      <c r="R173" s="80">
        <v>0.12</v>
      </c>
      <c r="S173" s="80" t="s">
        <v>277</v>
      </c>
      <c r="T173" s="83" t="s">
        <v>278</v>
      </c>
      <c r="U173" s="80" t="s">
        <v>279</v>
      </c>
      <c r="V173" s="80">
        <v>0.144</v>
      </c>
      <c r="W173" s="80" t="s">
        <v>280</v>
      </c>
      <c r="X173" s="85" t="s">
        <v>281</v>
      </c>
      <c r="Y173" s="80" t="s">
        <v>282</v>
      </c>
      <c r="Z173" s="87" t="s">
        <v>738</v>
      </c>
    </row>
    <row r="174" ht="41" customHeight="1" spans="1:26">
      <c r="A174" s="88" t="s">
        <v>157</v>
      </c>
      <c r="B174" s="88" t="s">
        <v>493</v>
      </c>
      <c r="C174" s="88" t="s">
        <v>172</v>
      </c>
      <c r="D174" s="88" t="s">
        <v>173</v>
      </c>
      <c r="E174" s="81" t="s">
        <v>12</v>
      </c>
      <c r="F174" s="88" t="s">
        <v>9</v>
      </c>
      <c r="G174" s="88">
        <v>0.1</v>
      </c>
      <c r="H174" s="88">
        <v>0.218</v>
      </c>
      <c r="I174" s="88">
        <v>-1e-17</v>
      </c>
      <c r="J174" s="88">
        <v>0</v>
      </c>
      <c r="K174" s="88" t="s">
        <v>284</v>
      </c>
      <c r="L174" s="83" t="s">
        <v>285</v>
      </c>
      <c r="M174" s="88">
        <v>0.0725</v>
      </c>
      <c r="N174" s="88">
        <v>0.04</v>
      </c>
      <c r="O174" s="88" t="s">
        <v>286</v>
      </c>
      <c r="P174" s="83" t="s">
        <v>287</v>
      </c>
      <c r="Q174" s="88">
        <v>0.218</v>
      </c>
      <c r="R174" s="88">
        <v>0.07</v>
      </c>
      <c r="S174" s="88" t="s">
        <v>288</v>
      </c>
      <c r="T174" s="83" t="s">
        <v>289</v>
      </c>
      <c r="U174" s="88" t="s">
        <v>279</v>
      </c>
      <c r="V174" s="88">
        <v>0.1</v>
      </c>
      <c r="W174" s="88" t="s">
        <v>290</v>
      </c>
      <c r="X174" s="83" t="s">
        <v>291</v>
      </c>
      <c r="Y174" s="88"/>
      <c r="Z174" s="87" t="s">
        <v>739</v>
      </c>
    </row>
    <row r="175" ht="41" customHeight="1" spans="1:26">
      <c r="A175" s="80" t="s">
        <v>157</v>
      </c>
      <c r="B175" s="80" t="s">
        <v>493</v>
      </c>
      <c r="C175" s="80" t="s">
        <v>172</v>
      </c>
      <c r="D175" s="80" t="s">
        <v>15</v>
      </c>
      <c r="E175" s="81" t="s">
        <v>16</v>
      </c>
      <c r="F175" s="80" t="s">
        <v>17</v>
      </c>
      <c r="G175" s="80">
        <v>0.034</v>
      </c>
      <c r="H175" s="80" t="s">
        <v>740</v>
      </c>
      <c r="I175" s="80">
        <v>539</v>
      </c>
      <c r="J175" s="80">
        <v>30</v>
      </c>
      <c r="K175" s="80" t="s">
        <v>294</v>
      </c>
      <c r="L175" s="83" t="s">
        <v>295</v>
      </c>
      <c r="M175" s="80">
        <v>673</v>
      </c>
      <c r="N175" s="80">
        <v>50</v>
      </c>
      <c r="O175" s="80" t="s">
        <v>296</v>
      </c>
      <c r="P175" s="83" t="s">
        <v>297</v>
      </c>
      <c r="Q175" s="80">
        <v>910</v>
      </c>
      <c r="R175" s="80">
        <v>70</v>
      </c>
      <c r="S175" s="80" t="s">
        <v>298</v>
      </c>
      <c r="T175" s="83" t="s">
        <v>299</v>
      </c>
      <c r="U175" s="80" t="s">
        <v>741</v>
      </c>
      <c r="V175" s="80">
        <v>90</v>
      </c>
      <c r="W175" s="80" t="s">
        <v>301</v>
      </c>
      <c r="X175" s="83" t="s">
        <v>302</v>
      </c>
      <c r="Y175" s="80"/>
      <c r="Z175" s="87" t="s">
        <v>742</v>
      </c>
    </row>
    <row r="176" ht="68" customHeight="1" spans="1:26">
      <c r="A176" s="88" t="s">
        <v>157</v>
      </c>
      <c r="B176" s="88" t="s">
        <v>493</v>
      </c>
      <c r="C176" s="88" t="s">
        <v>172</v>
      </c>
      <c r="D176" s="88" t="s">
        <v>15</v>
      </c>
      <c r="E176" s="81" t="s">
        <v>229</v>
      </c>
      <c r="F176" s="88" t="s">
        <v>9</v>
      </c>
      <c r="G176" s="88">
        <v>0.092</v>
      </c>
      <c r="H176" s="88">
        <v>0.186</v>
      </c>
      <c r="I176" s="88">
        <v>0.107</v>
      </c>
      <c r="J176" s="88">
        <v>30</v>
      </c>
      <c r="K176" s="88" t="s">
        <v>294</v>
      </c>
      <c r="L176" s="83" t="s">
        <v>304</v>
      </c>
      <c r="M176" s="88">
        <v>0.147</v>
      </c>
      <c r="N176" s="88">
        <v>50</v>
      </c>
      <c r="O176" s="88" t="s">
        <v>296</v>
      </c>
      <c r="P176" s="83" t="s">
        <v>305</v>
      </c>
      <c r="Q176" s="88">
        <v>0.186</v>
      </c>
      <c r="R176" s="88">
        <v>70</v>
      </c>
      <c r="S176" s="88" t="s">
        <v>298</v>
      </c>
      <c r="T176" s="83" t="s">
        <v>306</v>
      </c>
      <c r="U176" s="88" t="s">
        <v>743</v>
      </c>
      <c r="V176" s="88">
        <v>90</v>
      </c>
      <c r="W176" s="88" t="s">
        <v>301</v>
      </c>
      <c r="X176" s="83" t="s">
        <v>308</v>
      </c>
      <c r="Y176" s="88"/>
      <c r="Z176" s="87" t="s">
        <v>744</v>
      </c>
    </row>
    <row r="177" ht="41" customHeight="1" spans="1:26">
      <c r="A177" s="80" t="s">
        <v>157</v>
      </c>
      <c r="B177" s="80" t="s">
        <v>493</v>
      </c>
      <c r="C177" s="80" t="s">
        <v>172</v>
      </c>
      <c r="D177" s="80" t="s">
        <v>15</v>
      </c>
      <c r="E177" s="81" t="s">
        <v>27</v>
      </c>
      <c r="F177" s="80" t="s">
        <v>9</v>
      </c>
      <c r="G177" s="80">
        <v>0.063</v>
      </c>
      <c r="H177" s="80">
        <v>0.967</v>
      </c>
      <c r="I177" s="80">
        <v>0.911</v>
      </c>
      <c r="J177" s="80">
        <v>30</v>
      </c>
      <c r="K177" s="80" t="s">
        <v>294</v>
      </c>
      <c r="L177" s="83" t="s">
        <v>310</v>
      </c>
      <c r="M177" s="80">
        <v>0.921</v>
      </c>
      <c r="N177" s="80">
        <v>50</v>
      </c>
      <c r="O177" s="80" t="s">
        <v>296</v>
      </c>
      <c r="P177" s="83" t="s">
        <v>311</v>
      </c>
      <c r="Q177" s="80">
        <v>0.967</v>
      </c>
      <c r="R177" s="80">
        <v>70</v>
      </c>
      <c r="S177" s="80" t="s">
        <v>298</v>
      </c>
      <c r="T177" s="83" t="s">
        <v>312</v>
      </c>
      <c r="U177" s="80" t="s">
        <v>745</v>
      </c>
      <c r="V177" s="80">
        <v>90</v>
      </c>
      <c r="W177" s="80" t="s">
        <v>301</v>
      </c>
      <c r="X177" s="83" t="s">
        <v>314</v>
      </c>
      <c r="Y177" s="80"/>
      <c r="Z177" s="87" t="s">
        <v>746</v>
      </c>
    </row>
    <row r="178" ht="41" customHeight="1" spans="1:26">
      <c r="A178" s="88" t="s">
        <v>157</v>
      </c>
      <c r="B178" s="88" t="s">
        <v>493</v>
      </c>
      <c r="C178" s="88" t="s">
        <v>172</v>
      </c>
      <c r="D178" s="88" t="s">
        <v>15</v>
      </c>
      <c r="E178" s="81" t="s">
        <v>30</v>
      </c>
      <c r="F178" s="88" t="s">
        <v>17</v>
      </c>
      <c r="G178" s="88">
        <v>0.021</v>
      </c>
      <c r="H178" s="88" t="s">
        <v>747</v>
      </c>
      <c r="I178" s="88">
        <v>98.9</v>
      </c>
      <c r="J178" s="88">
        <v>30</v>
      </c>
      <c r="K178" s="88" t="s">
        <v>294</v>
      </c>
      <c r="L178" s="83" t="s">
        <v>317</v>
      </c>
      <c r="M178" s="88">
        <v>107.9</v>
      </c>
      <c r="N178" s="88">
        <v>50</v>
      </c>
      <c r="O178" s="88" t="s">
        <v>296</v>
      </c>
      <c r="P178" s="83" t="s">
        <v>318</v>
      </c>
      <c r="Q178" s="88">
        <v>114.5</v>
      </c>
      <c r="R178" s="88">
        <v>70</v>
      </c>
      <c r="S178" s="88" t="s">
        <v>298</v>
      </c>
      <c r="T178" s="83" t="s">
        <v>319</v>
      </c>
      <c r="U178" s="88" t="s">
        <v>748</v>
      </c>
      <c r="V178" s="88">
        <v>90</v>
      </c>
      <c r="W178" s="88" t="s">
        <v>301</v>
      </c>
      <c r="X178" s="83" t="s">
        <v>321</v>
      </c>
      <c r="Y178" s="88"/>
      <c r="Z178" s="87" t="s">
        <v>749</v>
      </c>
    </row>
    <row r="179" ht="55" customHeight="1" spans="1:26">
      <c r="A179" s="80" t="s">
        <v>157</v>
      </c>
      <c r="B179" s="80" t="s">
        <v>493</v>
      </c>
      <c r="C179" s="80" t="s">
        <v>172</v>
      </c>
      <c r="D179" s="80" t="s">
        <v>15</v>
      </c>
      <c r="E179" s="81" t="s">
        <v>34</v>
      </c>
      <c r="F179" s="80" t="s">
        <v>17</v>
      </c>
      <c r="G179" s="80">
        <v>0.013</v>
      </c>
      <c r="H179" s="80" t="s">
        <v>750</v>
      </c>
      <c r="I179" s="80">
        <v>3</v>
      </c>
      <c r="J179" s="80">
        <v>30</v>
      </c>
      <c r="K179" s="80" t="s">
        <v>294</v>
      </c>
      <c r="L179" s="83" t="s">
        <v>324</v>
      </c>
      <c r="M179" s="80">
        <v>4</v>
      </c>
      <c r="N179" s="80">
        <v>50</v>
      </c>
      <c r="O179" s="80" t="s">
        <v>296</v>
      </c>
      <c r="P179" s="83" t="s">
        <v>325</v>
      </c>
      <c r="Q179" s="80">
        <v>5</v>
      </c>
      <c r="R179" s="80">
        <v>70</v>
      </c>
      <c r="S179" s="80" t="s">
        <v>298</v>
      </c>
      <c r="T179" s="83" t="s">
        <v>326</v>
      </c>
      <c r="U179" s="80" t="s">
        <v>571</v>
      </c>
      <c r="V179" s="80">
        <v>90</v>
      </c>
      <c r="W179" s="80" t="s">
        <v>301</v>
      </c>
      <c r="X179" s="83" t="s">
        <v>328</v>
      </c>
      <c r="Y179" s="80"/>
      <c r="Z179" s="87" t="s">
        <v>751</v>
      </c>
    </row>
    <row r="180" ht="41" customHeight="1" spans="1:26">
      <c r="A180" s="88" t="s">
        <v>157</v>
      </c>
      <c r="B180" s="88" t="s">
        <v>493</v>
      </c>
      <c r="C180" s="88" t="s">
        <v>172</v>
      </c>
      <c r="D180" s="88" t="s">
        <v>15</v>
      </c>
      <c r="E180" s="81" t="s">
        <v>38</v>
      </c>
      <c r="F180" s="88" t="s">
        <v>39</v>
      </c>
      <c r="G180" s="88">
        <v>0.101</v>
      </c>
      <c r="H180" s="88" t="s">
        <v>752</v>
      </c>
      <c r="I180" s="88">
        <v>380.5</v>
      </c>
      <c r="J180" s="88">
        <v>30</v>
      </c>
      <c r="K180" s="88" t="s">
        <v>294</v>
      </c>
      <c r="L180" s="83" t="s">
        <v>331</v>
      </c>
      <c r="M180" s="88">
        <v>426.2</v>
      </c>
      <c r="N180" s="88">
        <v>50</v>
      </c>
      <c r="O180" s="88" t="s">
        <v>296</v>
      </c>
      <c r="P180" s="83" t="s">
        <v>332</v>
      </c>
      <c r="Q180" s="88">
        <v>601.4</v>
      </c>
      <c r="R180" s="88">
        <v>70</v>
      </c>
      <c r="S180" s="88" t="s">
        <v>298</v>
      </c>
      <c r="T180" s="83" t="s">
        <v>333</v>
      </c>
      <c r="U180" s="88" t="s">
        <v>753</v>
      </c>
      <c r="V180" s="88">
        <v>90</v>
      </c>
      <c r="W180" s="88" t="s">
        <v>301</v>
      </c>
      <c r="X180" s="83" t="s">
        <v>335</v>
      </c>
      <c r="Y180" s="88"/>
      <c r="Z180" s="87" t="s">
        <v>754</v>
      </c>
    </row>
    <row r="181" ht="55" customHeight="1" spans="1:26">
      <c r="A181" s="80" t="s">
        <v>157</v>
      </c>
      <c r="B181" s="80" t="s">
        <v>493</v>
      </c>
      <c r="C181" s="80" t="s">
        <v>172</v>
      </c>
      <c r="D181" s="80" t="s">
        <v>15</v>
      </c>
      <c r="E181" s="81" t="s">
        <v>42</v>
      </c>
      <c r="F181" s="80" t="s">
        <v>9</v>
      </c>
      <c r="G181" s="80">
        <v>0.008</v>
      </c>
      <c r="H181" s="80">
        <v>1</v>
      </c>
      <c r="I181" s="80">
        <v>0.875</v>
      </c>
      <c r="J181" s="80">
        <v>30</v>
      </c>
      <c r="K181" s="80" t="s">
        <v>294</v>
      </c>
      <c r="L181" s="83" t="s">
        <v>337</v>
      </c>
      <c r="M181" s="80">
        <v>0.9375</v>
      </c>
      <c r="N181" s="80">
        <v>50</v>
      </c>
      <c r="O181" s="80" t="s">
        <v>296</v>
      </c>
      <c r="P181" s="83" t="s">
        <v>338</v>
      </c>
      <c r="Q181" s="80">
        <v>1</v>
      </c>
      <c r="R181" s="80">
        <v>70</v>
      </c>
      <c r="S181" s="80" t="s">
        <v>339</v>
      </c>
      <c r="T181" s="83" t="s">
        <v>340</v>
      </c>
      <c r="U181" s="80" t="s">
        <v>279</v>
      </c>
      <c r="V181" s="80"/>
      <c r="W181" s="80"/>
      <c r="X181" s="83" t="s">
        <v>340</v>
      </c>
      <c r="Y181" s="80" t="s">
        <v>341</v>
      </c>
      <c r="Z181" s="87" t="s">
        <v>755</v>
      </c>
    </row>
    <row r="182" ht="55" customHeight="1" spans="1:26">
      <c r="A182" s="88" t="s">
        <v>157</v>
      </c>
      <c r="B182" s="88" t="s">
        <v>493</v>
      </c>
      <c r="C182" s="88" t="s">
        <v>172</v>
      </c>
      <c r="D182" s="88" t="s">
        <v>15</v>
      </c>
      <c r="E182" s="81" t="s">
        <v>23</v>
      </c>
      <c r="F182" s="88" t="s">
        <v>24</v>
      </c>
      <c r="G182" s="88">
        <v>0.088</v>
      </c>
      <c r="H182" s="88" t="s">
        <v>756</v>
      </c>
      <c r="I182" s="88">
        <v>2.4</v>
      </c>
      <c r="J182" s="88">
        <v>30</v>
      </c>
      <c r="K182" s="88" t="s">
        <v>294</v>
      </c>
      <c r="L182" s="83" t="s">
        <v>344</v>
      </c>
      <c r="M182" s="88">
        <v>3.3</v>
      </c>
      <c r="N182" s="88">
        <v>50</v>
      </c>
      <c r="O182" s="88" t="s">
        <v>296</v>
      </c>
      <c r="P182" s="83" t="s">
        <v>345</v>
      </c>
      <c r="Q182" s="88">
        <v>5.1</v>
      </c>
      <c r="R182" s="88">
        <v>70</v>
      </c>
      <c r="S182" s="88" t="s">
        <v>298</v>
      </c>
      <c r="T182" s="83" t="s">
        <v>346</v>
      </c>
      <c r="U182" s="88" t="s">
        <v>757</v>
      </c>
      <c r="V182" s="88">
        <v>90</v>
      </c>
      <c r="W182" s="88" t="s">
        <v>301</v>
      </c>
      <c r="X182" s="83" t="s">
        <v>348</v>
      </c>
      <c r="Y182" s="88"/>
      <c r="Z182" s="87" t="s">
        <v>758</v>
      </c>
    </row>
    <row r="183" ht="55" customHeight="1" spans="1:26">
      <c r="A183" s="80" t="s">
        <v>157</v>
      </c>
      <c r="B183" s="80" t="s">
        <v>493</v>
      </c>
      <c r="C183" s="80" t="s">
        <v>172</v>
      </c>
      <c r="D183" s="80" t="s">
        <v>44</v>
      </c>
      <c r="E183" s="81" t="s">
        <v>45</v>
      </c>
      <c r="F183" s="80" t="s">
        <v>35</v>
      </c>
      <c r="G183" s="80">
        <v>0.015</v>
      </c>
      <c r="H183" s="80" t="s">
        <v>759</v>
      </c>
      <c r="I183" s="80">
        <v>87</v>
      </c>
      <c r="J183" s="80">
        <v>30</v>
      </c>
      <c r="K183" s="80" t="s">
        <v>294</v>
      </c>
      <c r="L183" s="83" t="s">
        <v>352</v>
      </c>
      <c r="M183" s="80">
        <v>93</v>
      </c>
      <c r="N183" s="80">
        <v>50</v>
      </c>
      <c r="O183" s="80" t="s">
        <v>296</v>
      </c>
      <c r="P183" s="83" t="s">
        <v>353</v>
      </c>
      <c r="Q183" s="80">
        <v>98</v>
      </c>
      <c r="R183" s="80">
        <v>70</v>
      </c>
      <c r="S183" s="80" t="s">
        <v>298</v>
      </c>
      <c r="T183" s="83" t="s">
        <v>354</v>
      </c>
      <c r="U183" s="80" t="s">
        <v>760</v>
      </c>
      <c r="V183" s="80">
        <v>90</v>
      </c>
      <c r="W183" s="80" t="s">
        <v>301</v>
      </c>
      <c r="X183" s="83" t="s">
        <v>356</v>
      </c>
      <c r="Y183" s="80"/>
      <c r="Z183" s="87" t="s">
        <v>761</v>
      </c>
    </row>
    <row r="184" ht="55" customHeight="1" spans="1:26">
      <c r="A184" s="88" t="s">
        <v>157</v>
      </c>
      <c r="B184" s="88" t="s">
        <v>493</v>
      </c>
      <c r="C184" s="88" t="s">
        <v>172</v>
      </c>
      <c r="D184" s="88" t="s">
        <v>44</v>
      </c>
      <c r="E184" s="81" t="s">
        <v>48</v>
      </c>
      <c r="F184" s="88" t="s">
        <v>39</v>
      </c>
      <c r="G184" s="88">
        <v>0.035</v>
      </c>
      <c r="H184" s="88" t="s">
        <v>762</v>
      </c>
      <c r="I184" s="88">
        <v>0.44</v>
      </c>
      <c r="J184" s="88">
        <v>30</v>
      </c>
      <c r="K184" s="88" t="s">
        <v>294</v>
      </c>
      <c r="L184" s="83" t="s">
        <v>359</v>
      </c>
      <c r="M184" s="88">
        <v>0.61</v>
      </c>
      <c r="N184" s="88">
        <v>50</v>
      </c>
      <c r="O184" s="88" t="s">
        <v>296</v>
      </c>
      <c r="P184" s="83" t="s">
        <v>360</v>
      </c>
      <c r="Q184" s="88">
        <v>1.1</v>
      </c>
      <c r="R184" s="88">
        <v>70</v>
      </c>
      <c r="S184" s="88" t="s">
        <v>298</v>
      </c>
      <c r="T184" s="83" t="s">
        <v>361</v>
      </c>
      <c r="U184" s="88" t="s">
        <v>763</v>
      </c>
      <c r="V184" s="88">
        <v>90</v>
      </c>
      <c r="W184" s="88" t="s">
        <v>301</v>
      </c>
      <c r="X184" s="83" t="s">
        <v>363</v>
      </c>
      <c r="Y184" s="88"/>
      <c r="Z184" s="87" t="s">
        <v>764</v>
      </c>
    </row>
    <row r="185" ht="82" customHeight="1" spans="1:26">
      <c r="A185" s="80" t="s">
        <v>157</v>
      </c>
      <c r="B185" s="80" t="s">
        <v>493</v>
      </c>
      <c r="C185" s="80" t="s">
        <v>172</v>
      </c>
      <c r="D185" s="80" t="s">
        <v>52</v>
      </c>
      <c r="E185" s="81" t="s">
        <v>190</v>
      </c>
      <c r="F185" s="80" t="s">
        <v>17</v>
      </c>
      <c r="G185" s="80">
        <v>0.06</v>
      </c>
      <c r="H185" s="80" t="s">
        <v>365</v>
      </c>
      <c r="I185" s="80">
        <v>2</v>
      </c>
      <c r="J185" s="80">
        <v>20</v>
      </c>
      <c r="K185" s="80" t="s">
        <v>366</v>
      </c>
      <c r="L185" s="83" t="s">
        <v>367</v>
      </c>
      <c r="M185" s="80">
        <v>3</v>
      </c>
      <c r="N185" s="80">
        <v>70</v>
      </c>
      <c r="O185" s="80" t="s">
        <v>298</v>
      </c>
      <c r="P185" s="83" t="s">
        <v>368</v>
      </c>
      <c r="Q185" s="80">
        <v>4</v>
      </c>
      <c r="R185" s="80">
        <v>90</v>
      </c>
      <c r="S185" s="80" t="s">
        <v>369</v>
      </c>
      <c r="T185" s="83" t="s">
        <v>370</v>
      </c>
      <c r="U185" s="80" t="s">
        <v>371</v>
      </c>
      <c r="V185" s="80">
        <v>90</v>
      </c>
      <c r="W185" s="80" t="s">
        <v>369</v>
      </c>
      <c r="X185" s="83" t="s">
        <v>372</v>
      </c>
      <c r="Y185" s="80" t="s">
        <v>373</v>
      </c>
      <c r="Z185" s="87" t="s">
        <v>765</v>
      </c>
    </row>
    <row r="186" ht="41" customHeight="1" spans="1:26">
      <c r="A186" s="88" t="s">
        <v>157</v>
      </c>
      <c r="B186" s="88" t="s">
        <v>493</v>
      </c>
      <c r="C186" s="88" t="s">
        <v>172</v>
      </c>
      <c r="D186" s="88" t="s">
        <v>56</v>
      </c>
      <c r="E186" s="81" t="s">
        <v>192</v>
      </c>
      <c r="F186" s="88" t="s">
        <v>17</v>
      </c>
      <c r="G186" s="88">
        <v>0.06</v>
      </c>
      <c r="H186" s="88" t="s">
        <v>522</v>
      </c>
      <c r="I186" s="88">
        <v>3</v>
      </c>
      <c r="J186" s="88">
        <v>20</v>
      </c>
      <c r="K186" s="88" t="s">
        <v>523</v>
      </c>
      <c r="L186" s="83" t="s">
        <v>376</v>
      </c>
      <c r="M186" s="88">
        <v>4</v>
      </c>
      <c r="N186" s="88">
        <v>50</v>
      </c>
      <c r="O186" s="88" t="s">
        <v>524</v>
      </c>
      <c r="P186" s="83" t="s">
        <v>378</v>
      </c>
      <c r="Q186" s="88">
        <v>5</v>
      </c>
      <c r="R186" s="88">
        <v>70</v>
      </c>
      <c r="S186" s="88" t="s">
        <v>525</v>
      </c>
      <c r="T186" s="83" t="s">
        <v>380</v>
      </c>
      <c r="U186" s="88" t="s">
        <v>279</v>
      </c>
      <c r="V186" s="88">
        <v>90</v>
      </c>
      <c r="W186" s="88" t="s">
        <v>526</v>
      </c>
      <c r="X186" s="83" t="s">
        <v>382</v>
      </c>
      <c r="Y186" s="88" t="s">
        <v>383</v>
      </c>
      <c r="Z186" s="87" t="s">
        <v>766</v>
      </c>
    </row>
    <row r="187" ht="55" customHeight="1" spans="1:26">
      <c r="A187" s="80" t="s">
        <v>157</v>
      </c>
      <c r="B187" s="80" t="s">
        <v>493</v>
      </c>
      <c r="C187" s="80" t="s">
        <v>193</v>
      </c>
      <c r="D187" s="80" t="s">
        <v>194</v>
      </c>
      <c r="E187" s="81" t="s">
        <v>64</v>
      </c>
      <c r="F187" s="80" t="s">
        <v>65</v>
      </c>
      <c r="G187" s="80">
        <v>0.024</v>
      </c>
      <c r="H187" s="80" t="s">
        <v>528</v>
      </c>
      <c r="I187" s="80">
        <v>2</v>
      </c>
      <c r="J187" s="80">
        <v>30</v>
      </c>
      <c r="K187" s="80" t="s">
        <v>294</v>
      </c>
      <c r="L187" s="83" t="s">
        <v>386</v>
      </c>
      <c r="M187" s="80">
        <v>3</v>
      </c>
      <c r="N187" s="80">
        <v>50</v>
      </c>
      <c r="O187" s="80" t="s">
        <v>296</v>
      </c>
      <c r="P187" s="83" t="s">
        <v>387</v>
      </c>
      <c r="Q187" s="80">
        <v>6</v>
      </c>
      <c r="R187" s="80">
        <v>70</v>
      </c>
      <c r="S187" s="80" t="s">
        <v>298</v>
      </c>
      <c r="T187" s="83" t="s">
        <v>388</v>
      </c>
      <c r="U187" s="80" t="s">
        <v>529</v>
      </c>
      <c r="V187" s="80">
        <v>90</v>
      </c>
      <c r="W187" s="80" t="s">
        <v>301</v>
      </c>
      <c r="X187" s="83" t="s">
        <v>390</v>
      </c>
      <c r="Y187" s="80"/>
      <c r="Z187" s="87" t="s">
        <v>767</v>
      </c>
    </row>
    <row r="188" ht="82" customHeight="1" spans="1:26">
      <c r="A188" s="88" t="s">
        <v>157</v>
      </c>
      <c r="B188" s="88" t="s">
        <v>493</v>
      </c>
      <c r="C188" s="88" t="s">
        <v>193</v>
      </c>
      <c r="D188" s="88" t="s">
        <v>194</v>
      </c>
      <c r="E188" s="81" t="s">
        <v>67</v>
      </c>
      <c r="F188" s="88" t="s">
        <v>65</v>
      </c>
      <c r="G188" s="88">
        <v>0.032</v>
      </c>
      <c r="H188" s="88" t="s">
        <v>652</v>
      </c>
      <c r="I188" s="88">
        <v>20</v>
      </c>
      <c r="J188" s="88">
        <v>30</v>
      </c>
      <c r="K188" s="88" t="s">
        <v>294</v>
      </c>
      <c r="L188" s="83" t="s">
        <v>393</v>
      </c>
      <c r="M188" s="88">
        <v>30</v>
      </c>
      <c r="N188" s="88">
        <v>50</v>
      </c>
      <c r="O188" s="88" t="s">
        <v>296</v>
      </c>
      <c r="P188" s="83" t="s">
        <v>394</v>
      </c>
      <c r="Q188" s="88">
        <v>35</v>
      </c>
      <c r="R188" s="88">
        <v>70</v>
      </c>
      <c r="S188" s="88" t="s">
        <v>298</v>
      </c>
      <c r="T188" s="83" t="s">
        <v>395</v>
      </c>
      <c r="U188" s="88" t="s">
        <v>653</v>
      </c>
      <c r="V188" s="88">
        <v>90</v>
      </c>
      <c r="W188" s="88" t="s">
        <v>397</v>
      </c>
      <c r="X188" s="83" t="s">
        <v>398</v>
      </c>
      <c r="Y188" s="88" t="s">
        <v>399</v>
      </c>
      <c r="Z188" s="87" t="s">
        <v>768</v>
      </c>
    </row>
    <row r="189" ht="41" customHeight="1" spans="1:26">
      <c r="A189" s="80" t="s">
        <v>157</v>
      </c>
      <c r="B189" s="80" t="s">
        <v>493</v>
      </c>
      <c r="C189" s="80" t="s">
        <v>193</v>
      </c>
      <c r="D189" s="80" t="s">
        <v>197</v>
      </c>
      <c r="E189" s="81" t="s">
        <v>60</v>
      </c>
      <c r="F189" s="80" t="s">
        <v>401</v>
      </c>
      <c r="G189" s="80">
        <v>0.056</v>
      </c>
      <c r="H189" s="80" t="s">
        <v>769</v>
      </c>
      <c r="I189" s="80">
        <v>0.78</v>
      </c>
      <c r="J189" s="80">
        <v>30</v>
      </c>
      <c r="K189" s="80" t="s">
        <v>294</v>
      </c>
      <c r="L189" s="83" t="s">
        <v>403</v>
      </c>
      <c r="M189" s="80">
        <v>1.2</v>
      </c>
      <c r="N189" s="80">
        <v>50</v>
      </c>
      <c r="O189" s="80" t="s">
        <v>296</v>
      </c>
      <c r="P189" s="83" t="s">
        <v>404</v>
      </c>
      <c r="Q189" s="80">
        <v>1.9</v>
      </c>
      <c r="R189" s="80">
        <v>70</v>
      </c>
      <c r="S189" s="80" t="s">
        <v>298</v>
      </c>
      <c r="T189" s="83" t="s">
        <v>405</v>
      </c>
      <c r="U189" s="80" t="s">
        <v>770</v>
      </c>
      <c r="V189" s="80">
        <v>90</v>
      </c>
      <c r="W189" s="80" t="s">
        <v>301</v>
      </c>
      <c r="X189" s="83" t="s">
        <v>407</v>
      </c>
      <c r="Y189" s="80"/>
      <c r="Z189" s="87" t="s">
        <v>771</v>
      </c>
    </row>
    <row r="190" ht="68" customHeight="1" spans="1:26">
      <c r="A190" s="88" t="s">
        <v>157</v>
      </c>
      <c r="B190" s="88" t="s">
        <v>493</v>
      </c>
      <c r="C190" s="88" t="s">
        <v>193</v>
      </c>
      <c r="D190" s="88" t="s">
        <v>70</v>
      </c>
      <c r="E190" s="81" t="s">
        <v>70</v>
      </c>
      <c r="F190" s="88" t="s">
        <v>409</v>
      </c>
      <c r="G190" s="88">
        <v>0.048</v>
      </c>
      <c r="H190" s="88" t="s">
        <v>537</v>
      </c>
      <c r="I190" s="88" t="s">
        <v>411</v>
      </c>
      <c r="J190" s="88">
        <v>0</v>
      </c>
      <c r="K190" s="88" t="s">
        <v>412</v>
      </c>
      <c r="L190" s="83" t="s">
        <v>413</v>
      </c>
      <c r="M190" s="88" t="s">
        <v>206</v>
      </c>
      <c r="N190" s="88">
        <v>30</v>
      </c>
      <c r="O190" s="88" t="s">
        <v>414</v>
      </c>
      <c r="P190" s="83" t="s">
        <v>415</v>
      </c>
      <c r="Q190" s="88" t="s">
        <v>416</v>
      </c>
      <c r="R190" s="88">
        <v>70</v>
      </c>
      <c r="S190" s="88" t="s">
        <v>417</v>
      </c>
      <c r="T190" s="83" t="s">
        <v>418</v>
      </c>
      <c r="U190" s="88" t="s">
        <v>201</v>
      </c>
      <c r="V190" s="88">
        <v>90</v>
      </c>
      <c r="W190" s="88" t="s">
        <v>488</v>
      </c>
      <c r="X190" s="83" t="s">
        <v>420</v>
      </c>
      <c r="Y190" s="88" t="s">
        <v>421</v>
      </c>
      <c r="Z190" s="87" t="s">
        <v>772</v>
      </c>
    </row>
    <row r="191" ht="41" customHeight="1" spans="1:26">
      <c r="A191" s="80" t="s">
        <v>157</v>
      </c>
      <c r="B191" s="80" t="s">
        <v>493</v>
      </c>
      <c r="C191" s="80" t="s">
        <v>203</v>
      </c>
      <c r="D191" s="80" t="s">
        <v>279</v>
      </c>
      <c r="E191" s="81" t="s">
        <v>75</v>
      </c>
      <c r="F191" s="80" t="s">
        <v>423</v>
      </c>
      <c r="G191" s="80">
        <v>0.015</v>
      </c>
      <c r="H191" s="80" t="s">
        <v>424</v>
      </c>
      <c r="I191" s="80" t="s">
        <v>201</v>
      </c>
      <c r="J191" s="80">
        <v>20</v>
      </c>
      <c r="K191" s="80" t="s">
        <v>425</v>
      </c>
      <c r="L191" s="83" t="s">
        <v>426</v>
      </c>
      <c r="M191" s="80" t="s">
        <v>416</v>
      </c>
      <c r="N191" s="80">
        <v>60</v>
      </c>
      <c r="O191" s="80" t="s">
        <v>427</v>
      </c>
      <c r="P191" s="83" t="s">
        <v>428</v>
      </c>
      <c r="Q191" s="80" t="s">
        <v>206</v>
      </c>
      <c r="R191" s="80">
        <v>90</v>
      </c>
      <c r="S191" s="80" t="s">
        <v>429</v>
      </c>
      <c r="T191" s="83" t="s">
        <v>430</v>
      </c>
      <c r="U191" s="80" t="s">
        <v>279</v>
      </c>
      <c r="V191" s="80"/>
      <c r="W191" s="80"/>
      <c r="X191" s="85" t="s">
        <v>431</v>
      </c>
      <c r="Y191" s="80"/>
      <c r="Z191" s="87" t="s">
        <v>773</v>
      </c>
    </row>
    <row r="192" ht="41" customHeight="1" spans="1:26">
      <c r="A192" s="88" t="s">
        <v>157</v>
      </c>
      <c r="B192" s="88" t="s">
        <v>493</v>
      </c>
      <c r="C192" s="88" t="s">
        <v>203</v>
      </c>
      <c r="D192" s="88" t="s">
        <v>279</v>
      </c>
      <c r="E192" s="81" t="s">
        <v>78</v>
      </c>
      <c r="F192" s="88" t="s">
        <v>423</v>
      </c>
      <c r="G192" s="88">
        <v>0.02</v>
      </c>
      <c r="H192" s="88" t="s">
        <v>410</v>
      </c>
      <c r="I192" s="88" t="s">
        <v>201</v>
      </c>
      <c r="J192" s="88">
        <v>20</v>
      </c>
      <c r="K192" s="88" t="s">
        <v>433</v>
      </c>
      <c r="L192" s="83" t="s">
        <v>434</v>
      </c>
      <c r="M192" s="88" t="s">
        <v>416</v>
      </c>
      <c r="N192" s="88">
        <v>60</v>
      </c>
      <c r="O192" s="88" t="s">
        <v>435</v>
      </c>
      <c r="P192" s="83" t="s">
        <v>436</v>
      </c>
      <c r="Q192" s="88" t="s">
        <v>206</v>
      </c>
      <c r="R192" s="88">
        <v>90</v>
      </c>
      <c r="S192" s="88" t="s">
        <v>437</v>
      </c>
      <c r="T192" s="83" t="s">
        <v>438</v>
      </c>
      <c r="U192" s="88" t="s">
        <v>279</v>
      </c>
      <c r="V192" s="88"/>
      <c r="W192" s="88"/>
      <c r="X192" s="83" t="s">
        <v>439</v>
      </c>
      <c r="Y192" s="88"/>
      <c r="Z192" s="87" t="s">
        <v>774</v>
      </c>
    </row>
    <row r="193" ht="41" customHeight="1" spans="1:26">
      <c r="A193" s="80" t="s">
        <v>157</v>
      </c>
      <c r="B193" s="80" t="s">
        <v>493</v>
      </c>
      <c r="C193" s="80" t="s">
        <v>203</v>
      </c>
      <c r="D193" s="80" t="s">
        <v>279</v>
      </c>
      <c r="E193" s="81" t="s">
        <v>80</v>
      </c>
      <c r="F193" s="80" t="s">
        <v>423</v>
      </c>
      <c r="G193" s="80">
        <v>0.015</v>
      </c>
      <c r="H193" s="80" t="s">
        <v>424</v>
      </c>
      <c r="I193" s="80" t="s">
        <v>201</v>
      </c>
      <c r="J193" s="80">
        <v>20</v>
      </c>
      <c r="K193" s="80" t="s">
        <v>441</v>
      </c>
      <c r="L193" s="83" t="s">
        <v>442</v>
      </c>
      <c r="M193" s="80" t="s">
        <v>416</v>
      </c>
      <c r="N193" s="80">
        <v>60</v>
      </c>
      <c r="O193" s="80" t="s">
        <v>443</v>
      </c>
      <c r="P193" s="83" t="s">
        <v>444</v>
      </c>
      <c r="Q193" s="80" t="s">
        <v>206</v>
      </c>
      <c r="R193" s="80">
        <v>90</v>
      </c>
      <c r="S193" s="80" t="s">
        <v>445</v>
      </c>
      <c r="T193" s="83" t="s">
        <v>446</v>
      </c>
      <c r="U193" s="80" t="s">
        <v>279</v>
      </c>
      <c r="V193" s="80"/>
      <c r="W193" s="80"/>
      <c r="X193" s="83" t="s">
        <v>447</v>
      </c>
      <c r="Y193" s="80"/>
      <c r="Z193" s="87" t="s">
        <v>775</v>
      </c>
    </row>
    <row r="194" spans="1:26">
      <c r="A194" s="88"/>
      <c r="B194" s="88"/>
      <c r="C194" s="88"/>
      <c r="D194" s="88"/>
      <c r="E194" s="95"/>
      <c r="F194" s="88"/>
      <c r="G194" s="88"/>
      <c r="H194" s="88"/>
      <c r="I194" s="88"/>
      <c r="J194" s="88"/>
      <c r="K194" s="88"/>
      <c r="L194" s="83"/>
      <c r="M194" s="88"/>
      <c r="N194" s="88"/>
      <c r="O194" s="88"/>
      <c r="P194" s="83"/>
      <c r="Q194" s="88"/>
      <c r="R194" s="88"/>
      <c r="S194" s="88"/>
      <c r="T194" s="83"/>
      <c r="U194" s="88"/>
      <c r="V194" s="88"/>
      <c r="W194" s="88"/>
      <c r="X194" s="83"/>
      <c r="Y194" s="88"/>
      <c r="Z194" s="87"/>
    </row>
    <row r="195" spans="1:26">
      <c r="A195" s="96" t="s">
        <v>776</v>
      </c>
      <c r="B195" s="80"/>
      <c r="C195" s="80"/>
      <c r="D195" s="80"/>
      <c r="E195" s="95"/>
      <c r="F195" s="80"/>
      <c r="G195" s="80"/>
      <c r="H195" s="80"/>
      <c r="I195" s="80"/>
      <c r="J195" s="80"/>
      <c r="K195" s="80"/>
      <c r="L195" s="83"/>
      <c r="M195" s="80"/>
      <c r="N195" s="80"/>
      <c r="O195" s="80"/>
      <c r="P195" s="83"/>
      <c r="Q195" s="80"/>
      <c r="R195" s="80"/>
      <c r="S195" s="80"/>
      <c r="T195" s="83"/>
      <c r="U195" s="80"/>
      <c r="V195" s="80"/>
      <c r="W195" s="80"/>
      <c r="X195" s="83"/>
      <c r="Y195" s="80"/>
      <c r="Z195" s="87"/>
    </row>
  </sheetData>
  <sheetProtection algorithmName="SHA-512" hashValue="o9b/d1uG6BsSfvNrbL8uRlUGeLfJpQCXACaoX1ZtP/0sWVVS0IXB0umqrctbS1Hv0UTUG86cYDP5nWn88ptLSw==" saltValue="ILpelBWJ/r9DldNest1d0Q==" spinCount="100000" sheet="1" objects="1"/>
  <autoFilter xmlns:etc="http://www.wps.cn/officeDocument/2017/etCustomData" ref="A4:Z193" etc:filterBottomFollowUsedRange="0">
    <extLst/>
  </autoFilter>
  <mergeCells count="8">
    <mergeCell ref="A1:Z1"/>
    <mergeCell ref="A2:Z2"/>
    <mergeCell ref="A3:H3"/>
    <mergeCell ref="I3:L3"/>
    <mergeCell ref="M3:P3"/>
    <mergeCell ref="Q3:T3"/>
    <mergeCell ref="U3:X3"/>
    <mergeCell ref="Y3:Z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P103"/>
  <sheetViews>
    <sheetView zoomScale="72" zoomScaleNormal="72" topLeftCell="A50" workbookViewId="0">
      <selection activeCell="G76" sqref="G76"/>
    </sheetView>
  </sheetViews>
  <sheetFormatPr defaultColWidth="8.81818181818182" defaultRowHeight="16.5"/>
  <cols>
    <col min="1" max="1" width="22" style="11" customWidth="1"/>
    <col min="2" max="2" width="19.1818181818182" style="12" customWidth="1"/>
    <col min="3" max="3" width="20.4545454545455" style="12" customWidth="1"/>
    <col min="4" max="11" width="16" style="1" customWidth="1"/>
    <col min="12" max="12" width="11.8181818181818" style="12" customWidth="1"/>
    <col min="13" max="13" width="29.6363636363636" style="12" customWidth="1"/>
    <col min="14" max="14" width="21.5454545454545" style="12" customWidth="1"/>
    <col min="15" max="15" width="8.81818181818182" style="12" customWidth="1"/>
    <col min="16" max="16384" width="8.81818181818182" style="12"/>
  </cols>
  <sheetData>
    <row r="1" ht="30" customHeight="1" spans="1:16">
      <c r="A1" s="13" t="s">
        <v>777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6"/>
      <c r="M1" s="16"/>
      <c r="N1" s="16"/>
      <c r="O1" s="16"/>
      <c r="P1" s="16"/>
    </row>
    <row r="2" ht="22" customHeight="1" spans="1:16">
      <c r="A2" s="17" t="s">
        <v>778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16"/>
      <c r="M2" s="16"/>
      <c r="N2" s="16"/>
      <c r="O2" s="16"/>
      <c r="P2" s="16"/>
    </row>
    <row r="3" ht="36" customHeight="1" spans="1:16">
      <c r="A3" s="20" t="s">
        <v>164</v>
      </c>
      <c r="B3" s="20" t="s">
        <v>779</v>
      </c>
      <c r="C3" s="21" t="s">
        <v>780</v>
      </c>
      <c r="D3" s="21" t="s">
        <v>781</v>
      </c>
      <c r="E3" s="21" t="s">
        <v>782</v>
      </c>
      <c r="F3" s="21" t="s">
        <v>783</v>
      </c>
      <c r="G3" s="21" t="s">
        <v>784</v>
      </c>
      <c r="H3" s="21" t="s">
        <v>785</v>
      </c>
      <c r="I3" s="21" t="s">
        <v>786</v>
      </c>
      <c r="J3" s="21" t="s">
        <v>787</v>
      </c>
      <c r="K3" s="21" t="s">
        <v>788</v>
      </c>
      <c r="L3" s="16"/>
      <c r="M3" s="16"/>
      <c r="N3" s="16"/>
      <c r="O3" s="16"/>
      <c r="P3" s="16"/>
    </row>
    <row r="4" ht="20" customHeight="1" spans="1:16">
      <c r="A4" s="22" t="s">
        <v>89</v>
      </c>
      <c r="B4" s="23" t="s">
        <v>789</v>
      </c>
      <c r="C4" s="24">
        <v>0.1318</v>
      </c>
      <c r="D4" s="24">
        <v>0.1318</v>
      </c>
      <c r="E4" s="24">
        <v>0.1318</v>
      </c>
      <c r="F4" s="24">
        <v>0.1432</v>
      </c>
      <c r="G4" s="24">
        <v>0.1075</v>
      </c>
      <c r="H4" s="24">
        <v>0.1075</v>
      </c>
      <c r="I4" s="24">
        <v>0.1406</v>
      </c>
      <c r="J4" s="24">
        <v>0.1318</v>
      </c>
      <c r="K4" s="24">
        <v>0.1318</v>
      </c>
      <c r="L4" s="16"/>
      <c r="M4" s="16"/>
      <c r="N4" s="16"/>
      <c r="O4" s="16"/>
      <c r="P4" s="16"/>
    </row>
    <row r="5" ht="20" customHeight="1" spans="1:16">
      <c r="A5" s="25"/>
      <c r="B5" s="23" t="s">
        <v>790</v>
      </c>
      <c r="C5" s="24">
        <v>0.0858</v>
      </c>
      <c r="D5" s="24">
        <v>0.0858</v>
      </c>
      <c r="E5" s="24">
        <v>0.0858</v>
      </c>
      <c r="F5" s="24">
        <v>0.0696</v>
      </c>
      <c r="G5" s="24">
        <v>0.0678</v>
      </c>
      <c r="H5" s="24">
        <v>0.0678</v>
      </c>
      <c r="I5" s="24">
        <v>0.0931</v>
      </c>
      <c r="J5" s="24">
        <v>0.0858</v>
      </c>
      <c r="K5" s="24">
        <v>0.0858</v>
      </c>
      <c r="L5" s="16"/>
      <c r="M5" s="16"/>
      <c r="N5" s="16"/>
      <c r="O5" s="16"/>
      <c r="P5" s="16"/>
    </row>
    <row r="6" ht="20" customHeight="1" spans="1:16">
      <c r="A6" s="25"/>
      <c r="B6" s="23" t="s">
        <v>791</v>
      </c>
      <c r="C6" s="24">
        <v>0.051</v>
      </c>
      <c r="D6" s="24">
        <v>0.051</v>
      </c>
      <c r="E6" s="24">
        <v>0.051</v>
      </c>
      <c r="F6" s="24">
        <v>0.0492</v>
      </c>
      <c r="G6" s="24">
        <v>0.037</v>
      </c>
      <c r="H6" s="24">
        <v>0.037</v>
      </c>
      <c r="I6" s="24">
        <v>0.0578</v>
      </c>
      <c r="J6" s="24">
        <v>0.051</v>
      </c>
      <c r="K6" s="24">
        <v>0.051</v>
      </c>
      <c r="L6" s="16"/>
      <c r="M6" s="16"/>
      <c r="N6" s="16"/>
      <c r="O6" s="16"/>
      <c r="P6" s="16"/>
    </row>
    <row r="7" ht="20" customHeight="1" spans="1:16">
      <c r="A7" s="22" t="s">
        <v>93</v>
      </c>
      <c r="B7" s="23" t="s">
        <v>789</v>
      </c>
      <c r="C7" s="24">
        <v>0.038</v>
      </c>
      <c r="D7" s="24">
        <v>0.038</v>
      </c>
      <c r="E7" s="24">
        <v>0.038</v>
      </c>
      <c r="F7" s="24">
        <v>0.038</v>
      </c>
      <c r="G7" s="24">
        <v>0.038</v>
      </c>
      <c r="H7" s="24">
        <v>0.038</v>
      </c>
      <c r="I7" s="24">
        <v>0.038</v>
      </c>
      <c r="J7" s="24">
        <v>0.038</v>
      </c>
      <c r="K7" s="24">
        <v>0.038</v>
      </c>
      <c r="L7" s="16"/>
      <c r="M7" s="16"/>
      <c r="N7" s="16"/>
      <c r="O7" s="16"/>
      <c r="P7" s="16"/>
    </row>
    <row r="8" ht="20" customHeight="1" spans="1:16">
      <c r="A8" s="25"/>
      <c r="B8" s="23" t="s">
        <v>790</v>
      </c>
      <c r="C8" s="24">
        <v>0.0228</v>
      </c>
      <c r="D8" s="24">
        <v>0.0228</v>
      </c>
      <c r="E8" s="24">
        <v>0.0228</v>
      </c>
      <c r="F8" s="24">
        <v>0.0228</v>
      </c>
      <c r="G8" s="24">
        <v>0.0228</v>
      </c>
      <c r="H8" s="24">
        <v>0.0228</v>
      </c>
      <c r="I8" s="24">
        <v>0.0228</v>
      </c>
      <c r="J8" s="24">
        <v>0.0228</v>
      </c>
      <c r="K8" s="24">
        <v>0.0228</v>
      </c>
      <c r="L8" s="16"/>
      <c r="M8" s="16"/>
      <c r="N8" s="16"/>
      <c r="O8" s="16"/>
      <c r="P8" s="16"/>
    </row>
    <row r="9" ht="20" customHeight="1" spans="1:16">
      <c r="A9" s="25"/>
      <c r="B9" s="23" t="s">
        <v>791</v>
      </c>
      <c r="C9" s="24">
        <v>0.0136</v>
      </c>
      <c r="D9" s="24">
        <v>0.0136</v>
      </c>
      <c r="E9" s="24">
        <v>0.0136</v>
      </c>
      <c r="F9" s="24">
        <v>0.0136</v>
      </c>
      <c r="G9" s="24">
        <v>0.0136</v>
      </c>
      <c r="H9" s="24">
        <v>0.0136</v>
      </c>
      <c r="I9" s="24">
        <v>0.0136</v>
      </c>
      <c r="J9" s="24">
        <v>0.0136</v>
      </c>
      <c r="K9" s="24">
        <v>0.0136</v>
      </c>
      <c r="L9" s="16"/>
      <c r="M9" s="16"/>
      <c r="N9" s="16"/>
      <c r="O9" s="16"/>
      <c r="P9" s="16"/>
    </row>
    <row r="10" ht="41" customHeight="1" spans="1:16">
      <c r="A10" s="22" t="s">
        <v>100</v>
      </c>
      <c r="B10" s="23" t="s">
        <v>789</v>
      </c>
      <c r="C10" s="26">
        <v>2741</v>
      </c>
      <c r="D10" s="26">
        <v>2741</v>
      </c>
      <c r="E10" s="26">
        <v>2741</v>
      </c>
      <c r="F10" s="26">
        <v>2832</v>
      </c>
      <c r="G10" s="26">
        <v>2832</v>
      </c>
      <c r="H10" s="26">
        <v>2832</v>
      </c>
      <c r="I10" s="26">
        <v>2864</v>
      </c>
      <c r="J10" s="26">
        <v>2864</v>
      </c>
      <c r="K10" s="26">
        <v>2864</v>
      </c>
      <c r="L10" s="16"/>
      <c r="M10" s="16"/>
      <c r="N10" s="16"/>
      <c r="O10" s="16"/>
      <c r="P10" s="16"/>
    </row>
    <row r="11" ht="20" customHeight="1" spans="1:16">
      <c r="A11" s="25"/>
      <c r="B11" s="23" t="s">
        <v>790</v>
      </c>
      <c r="C11" s="26">
        <v>1523</v>
      </c>
      <c r="D11" s="26">
        <v>1523</v>
      </c>
      <c r="E11" s="26">
        <v>1523</v>
      </c>
      <c r="F11" s="26">
        <v>1804</v>
      </c>
      <c r="G11" s="26">
        <v>1804</v>
      </c>
      <c r="H11" s="26">
        <v>1804</v>
      </c>
      <c r="I11" s="26">
        <v>1512</v>
      </c>
      <c r="J11" s="26">
        <v>1512</v>
      </c>
      <c r="K11" s="26">
        <v>1512</v>
      </c>
      <c r="L11" s="16"/>
      <c r="M11" s="16"/>
      <c r="N11" s="16"/>
      <c r="O11" s="16"/>
      <c r="P11" s="16"/>
    </row>
    <row r="12" ht="20" customHeight="1" spans="1:16">
      <c r="A12" s="25"/>
      <c r="B12" s="23" t="s">
        <v>791</v>
      </c>
      <c r="C12" s="27">
        <v>1188</v>
      </c>
      <c r="D12" s="27">
        <v>1188</v>
      </c>
      <c r="E12" s="27">
        <v>1188</v>
      </c>
      <c r="F12" s="27">
        <v>765</v>
      </c>
      <c r="G12" s="27">
        <v>765</v>
      </c>
      <c r="H12" s="27">
        <v>765</v>
      </c>
      <c r="I12" s="27">
        <v>863</v>
      </c>
      <c r="J12" s="27">
        <v>863</v>
      </c>
      <c r="K12" s="27">
        <v>863</v>
      </c>
      <c r="L12" s="16"/>
      <c r="M12" s="16"/>
      <c r="N12" s="16"/>
      <c r="O12" s="16"/>
      <c r="P12" s="16"/>
    </row>
    <row r="13" spans="1:16">
      <c r="A13" s="22" t="s">
        <v>109</v>
      </c>
      <c r="B13" s="23" t="s">
        <v>792</v>
      </c>
      <c r="C13" s="26">
        <v>38</v>
      </c>
      <c r="D13" s="26">
        <v>38</v>
      </c>
      <c r="E13" s="26">
        <v>38</v>
      </c>
      <c r="F13" s="26">
        <v>38</v>
      </c>
      <c r="G13" s="26">
        <v>38</v>
      </c>
      <c r="H13" s="26">
        <v>38</v>
      </c>
      <c r="I13" s="26">
        <v>38</v>
      </c>
      <c r="J13" s="26">
        <v>38</v>
      </c>
      <c r="K13" s="26">
        <v>38</v>
      </c>
      <c r="L13" s="16"/>
      <c r="M13" s="16"/>
      <c r="N13" s="16"/>
      <c r="O13" s="16"/>
      <c r="P13" s="16"/>
    </row>
    <row r="14" ht="20" customHeight="1" spans="1:16">
      <c r="A14" s="25"/>
      <c r="B14" s="23" t="s">
        <v>790</v>
      </c>
      <c r="C14" s="27">
        <v>16</v>
      </c>
      <c r="D14" s="27">
        <v>16</v>
      </c>
      <c r="E14" s="27">
        <v>16</v>
      </c>
      <c r="F14" s="27">
        <v>16</v>
      </c>
      <c r="G14" s="27">
        <v>16</v>
      </c>
      <c r="H14" s="27">
        <v>16</v>
      </c>
      <c r="I14" s="27">
        <v>16</v>
      </c>
      <c r="J14" s="27">
        <v>16</v>
      </c>
      <c r="K14" s="27">
        <v>16</v>
      </c>
      <c r="L14" s="16"/>
      <c r="M14" s="16"/>
      <c r="N14" s="16"/>
      <c r="O14" s="16"/>
      <c r="P14" s="16"/>
    </row>
    <row r="15" ht="22" customHeight="1" spans="1:16">
      <c r="A15" s="25"/>
      <c r="B15" s="23" t="s">
        <v>791</v>
      </c>
      <c r="C15" s="26">
        <v>10</v>
      </c>
      <c r="D15" s="26">
        <v>10</v>
      </c>
      <c r="E15" s="26">
        <v>10</v>
      </c>
      <c r="F15" s="26">
        <v>10</v>
      </c>
      <c r="G15" s="26">
        <v>10</v>
      </c>
      <c r="H15" s="26">
        <v>10</v>
      </c>
      <c r="I15" s="26">
        <v>10</v>
      </c>
      <c r="J15" s="26">
        <v>10</v>
      </c>
      <c r="K15" s="26">
        <v>10</v>
      </c>
      <c r="L15" s="16"/>
      <c r="M15" s="16"/>
      <c r="N15" s="16"/>
      <c r="O15" s="16"/>
      <c r="P15" s="16"/>
    </row>
    <row r="16" ht="22" customHeight="1" spans="1:16">
      <c r="A16" s="22" t="s">
        <v>105</v>
      </c>
      <c r="B16" s="23" t="s">
        <v>789</v>
      </c>
      <c r="C16" s="24">
        <v>0.274</v>
      </c>
      <c r="D16" s="24">
        <v>0.274</v>
      </c>
      <c r="E16" s="24">
        <v>0.274</v>
      </c>
      <c r="F16" s="24">
        <v>0.274</v>
      </c>
      <c r="G16" s="24">
        <v>0.274</v>
      </c>
      <c r="H16" s="24">
        <v>0.274</v>
      </c>
      <c r="I16" s="24">
        <v>0.274</v>
      </c>
      <c r="J16" s="24">
        <v>0.274</v>
      </c>
      <c r="K16" s="24">
        <v>0.274</v>
      </c>
      <c r="L16" s="16"/>
      <c r="M16" s="16"/>
      <c r="N16" s="16"/>
      <c r="O16" s="16"/>
      <c r="P16" s="16"/>
    </row>
    <row r="17" ht="40" customHeight="1" spans="1:16">
      <c r="A17" s="25"/>
      <c r="B17" s="23" t="s">
        <v>790</v>
      </c>
      <c r="C17" s="24">
        <v>0.2334</v>
      </c>
      <c r="D17" s="24">
        <v>0.2334</v>
      </c>
      <c r="E17" s="24">
        <v>0.2334</v>
      </c>
      <c r="F17" s="24">
        <v>0.2334</v>
      </c>
      <c r="G17" s="24">
        <v>0.2334</v>
      </c>
      <c r="H17" s="24">
        <v>0.2334</v>
      </c>
      <c r="I17" s="24">
        <v>0.2334</v>
      </c>
      <c r="J17" s="24">
        <v>0.2334</v>
      </c>
      <c r="K17" s="24">
        <v>0.2334</v>
      </c>
      <c r="L17" s="16"/>
      <c r="M17" s="16"/>
      <c r="N17" s="16"/>
      <c r="O17" s="16"/>
      <c r="P17" s="16"/>
    </row>
    <row r="18" ht="40" customHeight="1" spans="1:16">
      <c r="A18" s="25"/>
      <c r="B18" s="23" t="s">
        <v>791</v>
      </c>
      <c r="C18" s="24">
        <v>0.2061</v>
      </c>
      <c r="D18" s="24">
        <v>0.2061</v>
      </c>
      <c r="E18" s="24">
        <v>0.2061</v>
      </c>
      <c r="F18" s="24">
        <v>0.2061</v>
      </c>
      <c r="G18" s="24">
        <v>0.2061</v>
      </c>
      <c r="H18" s="24">
        <v>0.2061</v>
      </c>
      <c r="I18" s="24">
        <v>0.2061</v>
      </c>
      <c r="J18" s="24">
        <v>0.2061</v>
      </c>
      <c r="K18" s="24">
        <v>0.2061</v>
      </c>
      <c r="L18" s="16"/>
      <c r="M18" s="16"/>
      <c r="N18" s="16"/>
      <c r="O18" s="16"/>
      <c r="P18" s="16"/>
    </row>
    <row r="19" ht="40" customHeight="1" spans="1:16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 s="16"/>
      <c r="P19" s="16"/>
    </row>
    <row r="20" ht="40" customHeight="1" spans="1:16">
      <c r="A20" s="28" t="s">
        <v>793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ht="40" customHeight="1" spans="1:16">
      <c r="A21" s="29" t="s">
        <v>164</v>
      </c>
      <c r="B21" s="30" t="s">
        <v>794</v>
      </c>
      <c r="C21" s="29" t="s">
        <v>795</v>
      </c>
      <c r="D21" s="29" t="s">
        <v>796</v>
      </c>
      <c r="E21" s="29" t="s">
        <v>797</v>
      </c>
      <c r="F21" s="31"/>
      <c r="G21" s="31"/>
      <c r="H21" s="31"/>
      <c r="I21" s="31"/>
      <c r="J21" s="31"/>
      <c r="K21" s="31"/>
      <c r="L21" s="16"/>
      <c r="M21" s="16"/>
      <c r="N21" s="16"/>
      <c r="O21" s="16"/>
      <c r="P21" s="16"/>
    </row>
    <row r="22" ht="40" customHeight="1" spans="1:16">
      <c r="A22" s="27" t="s">
        <v>89</v>
      </c>
      <c r="B22" s="26" t="s">
        <v>798</v>
      </c>
      <c r="C22" s="27" t="s">
        <v>799</v>
      </c>
      <c r="D22" s="27" t="s">
        <v>800</v>
      </c>
      <c r="E22" s="27" t="s">
        <v>801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ht="40" customHeight="1" spans="1:16">
      <c r="A23" s="27" t="s">
        <v>93</v>
      </c>
      <c r="B23" s="32" t="s">
        <v>802</v>
      </c>
      <c r="C23" s="27" t="s">
        <v>803</v>
      </c>
      <c r="D23" s="27" t="s">
        <v>804</v>
      </c>
      <c r="E23" s="27" t="s">
        <v>805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ht="40" customHeight="1" spans="1:16">
      <c r="A24" s="27" t="s">
        <v>100</v>
      </c>
      <c r="B24" s="32" t="s">
        <v>806</v>
      </c>
      <c r="C24" s="27" t="s">
        <v>807</v>
      </c>
      <c r="D24" s="27" t="s">
        <v>808</v>
      </c>
      <c r="E24" s="27" t="s">
        <v>809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ht="40" customHeight="1" spans="1:16">
      <c r="A25" s="27" t="s">
        <v>105</v>
      </c>
      <c r="B25" s="32" t="s">
        <v>810</v>
      </c>
      <c r="C25" s="27" t="s">
        <v>811</v>
      </c>
      <c r="D25" s="27" t="s">
        <v>812</v>
      </c>
      <c r="E25" s="27" t="s">
        <v>813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ht="40" customHeight="1" spans="1:16">
      <c r="A26" s="27" t="s">
        <v>109</v>
      </c>
      <c r="B26" s="32" t="s">
        <v>814</v>
      </c>
      <c r="C26" s="27" t="s">
        <v>815</v>
      </c>
      <c r="D26" s="27" t="s">
        <v>816</v>
      </c>
      <c r="E26" s="27" t="s">
        <v>817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ht="22" customHeight="1" spans="1:16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 s="16"/>
      <c r="P27" s="16"/>
    </row>
    <row r="28" ht="16" hidden="1" customHeight="1" spans="1:16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 s="16"/>
      <c r="P28" s="16"/>
    </row>
    <row r="29" ht="22" hidden="1" customHeight="1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 s="16"/>
      <c r="P29" s="16"/>
    </row>
    <row r="30" ht="22" hidden="1" customHeight="1" spans="1:16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 s="16"/>
      <c r="P30" s="16"/>
    </row>
    <row r="31" ht="22" hidden="1" customHeight="1" spans="1:16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 s="16"/>
      <c r="P31" s="16"/>
    </row>
    <row r="32" ht="22" hidden="1" customHeight="1" spans="1:16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 s="16"/>
      <c r="P32" s="16"/>
    </row>
    <row r="33" ht="46" hidden="1" customHeight="1" spans="1:16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 s="16"/>
      <c r="P33" s="16"/>
    </row>
    <row r="34" ht="25" hidden="1" customHeight="1" spans="1:16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 s="16"/>
      <c r="P34" s="16"/>
    </row>
    <row r="35" ht="17" hidden="1" customHeight="1" spans="1:1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 s="16"/>
      <c r="P35" s="16"/>
    </row>
    <row r="36" ht="17" hidden="1" customHeight="1" spans="1:1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 s="16"/>
      <c r="P36" s="16"/>
    </row>
    <row r="37" ht="17" hidden="1" customHeight="1" spans="1:16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 s="16"/>
      <c r="P37" s="16"/>
    </row>
    <row r="38" ht="17" hidden="1" customHeight="1" spans="1:16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 s="16"/>
      <c r="P38" s="16"/>
    </row>
    <row r="39" ht="17" hidden="1" customHeight="1" spans="1:16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 s="16"/>
      <c r="P39" s="16"/>
    </row>
    <row r="40" ht="17" customHeight="1" spans="1:16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 s="16"/>
      <c r="P40" s="16"/>
    </row>
    <row r="41" ht="17" customHeight="1" spans="1:16">
      <c r="A41" s="33"/>
      <c r="B41" s="34"/>
      <c r="C41" s="35"/>
      <c r="D41" s="36"/>
      <c r="E41" s="37"/>
      <c r="F41" s="38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ht="17" customHeight="1" spans="1:16">
      <c r="A42" s="39" t="s">
        <v>818</v>
      </c>
      <c r="B42" s="14"/>
      <c r="C42" s="40"/>
      <c r="D42" s="40"/>
      <c r="E42" s="37"/>
      <c r="F42" s="41"/>
      <c r="G42" s="31"/>
      <c r="H42" s="31"/>
      <c r="I42" s="31"/>
      <c r="J42" s="31"/>
      <c r="K42" s="31"/>
      <c r="L42" s="16"/>
      <c r="M42" s="16"/>
      <c r="N42" s="16"/>
      <c r="O42" s="16"/>
      <c r="P42" s="16"/>
    </row>
    <row r="43" ht="17" customHeight="1" spans="1:16">
      <c r="A43" s="20" t="s">
        <v>819</v>
      </c>
      <c r="B43" s="20" t="s">
        <v>240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16"/>
    </row>
    <row r="44" ht="17" customHeight="1" spans="1:16">
      <c r="A44" s="33" t="s">
        <v>820</v>
      </c>
      <c r="B44" s="34" t="s">
        <v>821</v>
      </c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16"/>
    </row>
    <row r="45" ht="18" customHeight="1" spans="1:16">
      <c r="A45" s="33" t="s">
        <v>822</v>
      </c>
      <c r="B45" s="34" t="s">
        <v>823</v>
      </c>
      <c r="C45" s="40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16"/>
    </row>
    <row r="46" ht="17" customHeight="1" spans="1:16">
      <c r="A46" s="33" t="s">
        <v>824</v>
      </c>
      <c r="B46" s="34" t="s">
        <v>825</v>
      </c>
      <c r="C46" s="4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16"/>
    </row>
    <row r="47" ht="28" customHeight="1" spans="1:16">
      <c r="A47" s="33" t="s">
        <v>826</v>
      </c>
      <c r="B47" s="34" t="s">
        <v>827</v>
      </c>
      <c r="C47" s="40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16"/>
    </row>
    <row r="48" ht="28" customHeight="1" spans="1:16">
      <c r="A48" s="42"/>
      <c r="B48" s="16"/>
      <c r="C48" s="31"/>
      <c r="D48" s="31"/>
      <c r="E48" s="31"/>
      <c r="F48" s="31"/>
      <c r="G48" s="31"/>
      <c r="H48" s="31"/>
      <c r="I48" s="31"/>
      <c r="J48" s="31"/>
      <c r="K48" s="43"/>
      <c r="L48" s="31"/>
      <c r="M48" s="31"/>
      <c r="N48" s="31"/>
      <c r="O48" s="31"/>
      <c r="P48" s="16"/>
    </row>
    <row r="49" ht="29" customHeight="1" spans="1:16">
      <c r="A49" s="39" t="s">
        <v>828</v>
      </c>
      <c r="B49" s="14"/>
      <c r="C49" s="14"/>
      <c r="D49" s="15"/>
      <c r="E49" s="15"/>
      <c r="F49" s="15"/>
      <c r="G49" s="15"/>
      <c r="H49" s="15"/>
      <c r="I49" s="15"/>
      <c r="J49" s="15"/>
      <c r="K49" s="15"/>
      <c r="L49" s="14"/>
      <c r="M49" s="14"/>
      <c r="N49" s="14"/>
      <c r="O49" s="31"/>
      <c r="P49" s="16"/>
    </row>
    <row r="50" ht="31" customHeight="1" spans="1:16">
      <c r="A50" s="44" t="s">
        <v>829</v>
      </c>
      <c r="B50" s="44" t="s">
        <v>177</v>
      </c>
      <c r="C50" s="44" t="s">
        <v>210</v>
      </c>
      <c r="D50" s="44" t="s">
        <v>211</v>
      </c>
      <c r="E50" s="44" t="s">
        <v>212</v>
      </c>
      <c r="F50" s="44" t="s">
        <v>218</v>
      </c>
      <c r="G50" s="44" t="s">
        <v>219</v>
      </c>
      <c r="H50" s="44" t="s">
        <v>220</v>
      </c>
      <c r="I50" s="44" t="s">
        <v>15</v>
      </c>
      <c r="J50" s="44" t="s">
        <v>44</v>
      </c>
      <c r="K50" s="44" t="s">
        <v>92</v>
      </c>
      <c r="L50" s="44" t="s">
        <v>104</v>
      </c>
      <c r="M50" s="44" t="s">
        <v>830</v>
      </c>
      <c r="N50" s="44" t="s">
        <v>831</v>
      </c>
      <c r="O50" s="45"/>
      <c r="P50" s="16"/>
    </row>
    <row r="51" ht="31" customHeight="1" spans="1:16">
      <c r="A51" s="46" t="s">
        <v>780</v>
      </c>
      <c r="B51" s="7" t="s">
        <v>832</v>
      </c>
      <c r="C51" s="7" t="s">
        <v>833</v>
      </c>
      <c r="D51" s="7" t="s">
        <v>834</v>
      </c>
      <c r="E51" s="7" t="s">
        <v>835</v>
      </c>
      <c r="F51" s="7" t="s">
        <v>836</v>
      </c>
      <c r="G51" s="7" t="s">
        <v>837</v>
      </c>
      <c r="H51" s="7" t="s">
        <v>47</v>
      </c>
      <c r="I51" s="7" t="s">
        <v>838</v>
      </c>
      <c r="J51" s="7" t="s">
        <v>839</v>
      </c>
      <c r="K51" s="7" t="s">
        <v>840</v>
      </c>
      <c r="L51" s="7" t="s">
        <v>841</v>
      </c>
      <c r="M51" s="7" t="s">
        <v>842</v>
      </c>
      <c r="N51" s="7" t="s">
        <v>843</v>
      </c>
      <c r="O51" s="47"/>
      <c r="P51" s="16"/>
    </row>
    <row r="52" spans="1:16">
      <c r="A52" s="46" t="s">
        <v>781</v>
      </c>
      <c r="B52" s="7" t="s">
        <v>844</v>
      </c>
      <c r="C52" s="7" t="s">
        <v>845</v>
      </c>
      <c r="D52" s="7" t="s">
        <v>846</v>
      </c>
      <c r="E52" s="7" t="s">
        <v>847</v>
      </c>
      <c r="F52" s="7" t="s">
        <v>848</v>
      </c>
      <c r="G52" s="7" t="s">
        <v>343</v>
      </c>
      <c r="H52" s="7" t="s">
        <v>47</v>
      </c>
      <c r="I52" s="7" t="s">
        <v>849</v>
      </c>
      <c r="J52" s="7" t="s">
        <v>850</v>
      </c>
      <c r="K52" s="7" t="s">
        <v>851</v>
      </c>
      <c r="L52" s="7" t="s">
        <v>852</v>
      </c>
      <c r="M52" s="7" t="s">
        <v>853</v>
      </c>
      <c r="N52" s="7" t="s">
        <v>854</v>
      </c>
      <c r="O52" s="47"/>
      <c r="P52" s="16"/>
    </row>
    <row r="53" spans="1:16">
      <c r="A53" s="46" t="s">
        <v>782</v>
      </c>
      <c r="B53" s="7" t="s">
        <v>855</v>
      </c>
      <c r="C53" s="7" t="s">
        <v>856</v>
      </c>
      <c r="D53" s="7" t="s">
        <v>857</v>
      </c>
      <c r="E53" s="7" t="s">
        <v>858</v>
      </c>
      <c r="F53" s="7" t="s">
        <v>859</v>
      </c>
      <c r="G53" s="7" t="s">
        <v>860</v>
      </c>
      <c r="H53" s="7" t="s">
        <v>47</v>
      </c>
      <c r="I53" s="7" t="s">
        <v>861</v>
      </c>
      <c r="J53" s="7" t="s">
        <v>862</v>
      </c>
      <c r="K53" s="7" t="s">
        <v>863</v>
      </c>
      <c r="L53" s="7" t="s">
        <v>864</v>
      </c>
      <c r="M53" s="7" t="s">
        <v>865</v>
      </c>
      <c r="N53" s="7" t="s">
        <v>866</v>
      </c>
      <c r="O53" s="47"/>
      <c r="P53" s="16"/>
    </row>
    <row r="54" spans="1:16">
      <c r="A54" s="46" t="s">
        <v>783</v>
      </c>
      <c r="B54" s="7" t="s">
        <v>867</v>
      </c>
      <c r="C54" s="7" t="s">
        <v>868</v>
      </c>
      <c r="D54" s="7" t="s">
        <v>869</v>
      </c>
      <c r="E54" s="7" t="s">
        <v>870</v>
      </c>
      <c r="F54" s="7" t="s">
        <v>871</v>
      </c>
      <c r="G54" s="7" t="s">
        <v>872</v>
      </c>
      <c r="H54" s="7" t="s">
        <v>873</v>
      </c>
      <c r="I54" s="7" t="s">
        <v>874</v>
      </c>
      <c r="J54" s="7" t="s">
        <v>864</v>
      </c>
      <c r="K54" s="7" t="s">
        <v>875</v>
      </c>
      <c r="L54" s="7" t="s">
        <v>756</v>
      </c>
      <c r="M54" s="7" t="s">
        <v>876</v>
      </c>
      <c r="N54" s="7" t="s">
        <v>877</v>
      </c>
      <c r="O54" s="47"/>
      <c r="P54" s="16"/>
    </row>
    <row r="55" spans="1:16">
      <c r="A55" s="46" t="s">
        <v>784</v>
      </c>
      <c r="B55" s="7" t="s">
        <v>878</v>
      </c>
      <c r="C55" s="7" t="s">
        <v>879</v>
      </c>
      <c r="D55" s="7" t="s">
        <v>880</v>
      </c>
      <c r="E55" s="7" t="s">
        <v>881</v>
      </c>
      <c r="F55" s="7" t="s">
        <v>882</v>
      </c>
      <c r="G55" s="7" t="s">
        <v>883</v>
      </c>
      <c r="H55" s="7" t="s">
        <v>884</v>
      </c>
      <c r="I55" s="7" t="s">
        <v>885</v>
      </c>
      <c r="J55" s="7" t="s">
        <v>886</v>
      </c>
      <c r="K55" s="7" t="s">
        <v>887</v>
      </c>
      <c r="L55" s="7" t="s">
        <v>888</v>
      </c>
      <c r="M55" s="7" t="s">
        <v>889</v>
      </c>
      <c r="N55" s="7" t="s">
        <v>890</v>
      </c>
      <c r="O55" s="47"/>
      <c r="P55" s="16"/>
    </row>
    <row r="56" spans="1:16">
      <c r="A56" s="46" t="s">
        <v>785</v>
      </c>
      <c r="B56" s="7" t="s">
        <v>891</v>
      </c>
      <c r="C56" s="7" t="s">
        <v>892</v>
      </c>
      <c r="D56" s="7" t="s">
        <v>893</v>
      </c>
      <c r="E56" s="7" t="s">
        <v>894</v>
      </c>
      <c r="F56" s="7" t="s">
        <v>895</v>
      </c>
      <c r="G56" s="7" t="s">
        <v>896</v>
      </c>
      <c r="H56" s="7" t="s">
        <v>47</v>
      </c>
      <c r="I56" s="7" t="s">
        <v>897</v>
      </c>
      <c r="J56" s="7" t="s">
        <v>898</v>
      </c>
      <c r="K56" s="7" t="s">
        <v>899</v>
      </c>
      <c r="L56" s="7" t="s">
        <v>900</v>
      </c>
      <c r="M56" s="7" t="s">
        <v>901</v>
      </c>
      <c r="N56" s="7" t="s">
        <v>877</v>
      </c>
      <c r="O56" s="47"/>
      <c r="P56" s="16"/>
    </row>
    <row r="57" spans="1:16">
      <c r="A57" s="46" t="s">
        <v>786</v>
      </c>
      <c r="B57" s="7" t="s">
        <v>902</v>
      </c>
      <c r="C57" s="7" t="s">
        <v>903</v>
      </c>
      <c r="D57" s="7" t="s">
        <v>904</v>
      </c>
      <c r="E57" s="7" t="s">
        <v>905</v>
      </c>
      <c r="F57" s="7" t="s">
        <v>906</v>
      </c>
      <c r="G57" s="7" t="s">
        <v>907</v>
      </c>
      <c r="H57" s="7" t="s">
        <v>908</v>
      </c>
      <c r="I57" s="7" t="s">
        <v>909</v>
      </c>
      <c r="J57" s="7" t="s">
        <v>910</v>
      </c>
      <c r="K57" s="7" t="s">
        <v>911</v>
      </c>
      <c r="L57" s="7" t="s">
        <v>912</v>
      </c>
      <c r="M57" s="7" t="s">
        <v>913</v>
      </c>
      <c r="N57" s="7" t="s">
        <v>914</v>
      </c>
      <c r="O57" s="47"/>
      <c r="P57" s="16"/>
    </row>
    <row r="58" spans="1:16">
      <c r="A58" s="46" t="s">
        <v>787</v>
      </c>
      <c r="B58" s="7" t="s">
        <v>915</v>
      </c>
      <c r="C58" s="7" t="s">
        <v>916</v>
      </c>
      <c r="D58" s="7" t="s">
        <v>917</v>
      </c>
      <c r="E58" s="7" t="s">
        <v>918</v>
      </c>
      <c r="F58" s="7" t="s">
        <v>919</v>
      </c>
      <c r="G58" s="7" t="s">
        <v>920</v>
      </c>
      <c r="H58" s="7" t="s">
        <v>921</v>
      </c>
      <c r="I58" s="7" t="s">
        <v>922</v>
      </c>
      <c r="J58" s="7" t="s">
        <v>923</v>
      </c>
      <c r="K58" s="7" t="s">
        <v>924</v>
      </c>
      <c r="L58" s="7" t="s">
        <v>600</v>
      </c>
      <c r="M58" s="7" t="s">
        <v>925</v>
      </c>
      <c r="N58" s="7" t="s">
        <v>926</v>
      </c>
      <c r="O58" s="47"/>
      <c r="P58" s="16"/>
    </row>
    <row r="59" spans="1:16">
      <c r="A59" s="46" t="s">
        <v>788</v>
      </c>
      <c r="B59" s="7" t="s">
        <v>927</v>
      </c>
      <c r="C59" s="7" t="s">
        <v>928</v>
      </c>
      <c r="D59" s="7" t="s">
        <v>929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930</v>
      </c>
      <c r="J59" s="7" t="s">
        <v>931</v>
      </c>
      <c r="K59" s="7" t="s">
        <v>47</v>
      </c>
      <c r="L59" s="7" t="s">
        <v>47</v>
      </c>
      <c r="M59" s="7" t="s">
        <v>932</v>
      </c>
      <c r="N59" s="7" t="s">
        <v>933</v>
      </c>
      <c r="O59" s="47"/>
      <c r="P59" s="16"/>
    </row>
    <row r="60" spans="1:16">
      <c r="A60" s="46"/>
      <c r="B60" s="48"/>
      <c r="C60" s="48"/>
      <c r="D60" s="4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16"/>
    </row>
    <row r="61" ht="27" customHeight="1" spans="1:16">
      <c r="A61" s="49" t="s">
        <v>934</v>
      </c>
      <c r="B61" s="50"/>
      <c r="C61" s="4"/>
      <c r="D61" s="51"/>
      <c r="E61" s="52"/>
      <c r="F61" s="52"/>
      <c r="G61" s="52"/>
      <c r="H61" s="52"/>
      <c r="I61" s="52"/>
      <c r="J61" s="52"/>
      <c r="K61" s="52"/>
      <c r="L61" s="48"/>
      <c r="M61" s="48"/>
      <c r="N61" s="48"/>
      <c r="O61" s="48"/>
      <c r="P61" s="16"/>
    </row>
    <row r="62" ht="24" customHeight="1" spans="1:16">
      <c r="A62" s="44" t="s">
        <v>935</v>
      </c>
      <c r="B62" s="44" t="s">
        <v>936</v>
      </c>
      <c r="C62" s="44" t="s">
        <v>937</v>
      </c>
      <c r="D62" s="53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16"/>
    </row>
    <row r="63" spans="1:16">
      <c r="A63" s="46" t="s">
        <v>177</v>
      </c>
      <c r="B63" s="46">
        <v>5</v>
      </c>
      <c r="C63" s="46">
        <v>0</v>
      </c>
      <c r="D63" s="53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16"/>
    </row>
    <row r="64" ht="17" customHeight="1" spans="1:16">
      <c r="A64" s="54" t="s">
        <v>210</v>
      </c>
      <c r="B64" s="46">
        <v>10</v>
      </c>
      <c r="C64" s="46">
        <v>0</v>
      </c>
      <c r="D64" s="47"/>
      <c r="E64" s="4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16"/>
    </row>
    <row r="65" ht="31" customHeight="1" spans="1:16">
      <c r="A65" s="54" t="s">
        <v>211</v>
      </c>
      <c r="B65" s="46">
        <v>6</v>
      </c>
      <c r="C65" s="54">
        <v>0</v>
      </c>
      <c r="D65" s="45"/>
      <c r="E65" s="48"/>
      <c r="F65" s="56"/>
      <c r="G65" s="57"/>
      <c r="H65" s="48"/>
      <c r="I65" s="48"/>
      <c r="J65" s="48"/>
      <c r="K65" s="48"/>
      <c r="L65" s="48"/>
      <c r="M65" s="48"/>
      <c r="N65" s="48"/>
      <c r="O65" s="48"/>
      <c r="P65" s="16"/>
    </row>
    <row r="66" spans="1:16">
      <c r="A66" s="46" t="s">
        <v>212</v>
      </c>
      <c r="B66" s="46">
        <v>10</v>
      </c>
      <c r="C66" s="46">
        <v>0</v>
      </c>
      <c r="D66" s="47"/>
      <c r="E66" s="48"/>
      <c r="F66" s="47"/>
      <c r="G66" s="47"/>
      <c r="H66" s="48"/>
      <c r="I66" s="48"/>
      <c r="J66" s="48"/>
      <c r="K66" s="48"/>
      <c r="L66" s="48"/>
      <c r="M66" s="48"/>
      <c r="N66" s="48"/>
      <c r="O66" s="48"/>
      <c r="P66" s="16"/>
    </row>
    <row r="67" spans="1:16">
      <c r="A67" s="46" t="s">
        <v>218</v>
      </c>
      <c r="B67" s="46">
        <v>10</v>
      </c>
      <c r="C67" s="46">
        <v>100</v>
      </c>
      <c r="D67" s="47"/>
      <c r="E67" s="48"/>
      <c r="F67" s="47"/>
      <c r="G67" s="47"/>
      <c r="H67" s="48"/>
      <c r="I67" s="48"/>
      <c r="J67" s="48"/>
      <c r="K67" s="48"/>
      <c r="L67" s="48"/>
      <c r="M67" s="48"/>
      <c r="N67" s="48"/>
      <c r="O67" s="48"/>
      <c r="P67" s="16"/>
    </row>
    <row r="68" spans="1:16">
      <c r="A68" s="46" t="s">
        <v>219</v>
      </c>
      <c r="B68" s="46">
        <v>2</v>
      </c>
      <c r="C68" s="46">
        <v>0</v>
      </c>
      <c r="D68" s="47"/>
      <c r="E68" s="48"/>
      <c r="F68" s="47"/>
      <c r="G68" s="47"/>
      <c r="H68" s="48"/>
      <c r="I68" s="48"/>
      <c r="J68" s="48"/>
      <c r="K68" s="48"/>
      <c r="L68" s="48"/>
      <c r="M68" s="48"/>
      <c r="N68" s="48"/>
      <c r="O68" s="48"/>
      <c r="P68" s="16"/>
    </row>
    <row r="69" spans="1:16">
      <c r="A69" s="46" t="s">
        <v>220</v>
      </c>
      <c r="B69" s="46">
        <v>10</v>
      </c>
      <c r="C69" s="46">
        <v>0</v>
      </c>
      <c r="D69" s="47"/>
      <c r="E69" s="48"/>
      <c r="F69" s="47"/>
      <c r="G69" s="47"/>
      <c r="H69" s="48"/>
      <c r="I69" s="48"/>
      <c r="J69" s="48"/>
      <c r="K69" s="48"/>
      <c r="L69" s="48"/>
      <c r="M69" s="48"/>
      <c r="N69" s="48"/>
      <c r="O69" s="48"/>
      <c r="P69" s="16"/>
    </row>
    <row r="70" spans="1:16">
      <c r="A70" s="46" t="s">
        <v>938</v>
      </c>
      <c r="B70" s="58">
        <f>SUM(B63:B69)</f>
        <v>53</v>
      </c>
      <c r="C70" s="46">
        <f>SUM(C63:C69)</f>
        <v>100</v>
      </c>
      <c r="D70" s="47"/>
      <c r="E70" s="48"/>
      <c r="F70" s="47"/>
      <c r="G70" s="47"/>
      <c r="H70" s="48"/>
      <c r="I70" s="48"/>
      <c r="J70" s="48"/>
      <c r="K70" s="48"/>
      <c r="L70" s="48"/>
      <c r="M70" s="48"/>
      <c r="N70" s="48"/>
      <c r="O70" s="48"/>
      <c r="P70" s="16"/>
    </row>
    <row r="71" spans="1:16">
      <c r="A71" s="59"/>
      <c r="B71" s="48"/>
      <c r="C71" s="47"/>
      <c r="D71" s="47"/>
      <c r="E71" s="48"/>
      <c r="F71" s="47"/>
      <c r="G71" s="47"/>
      <c r="H71" s="48"/>
      <c r="I71" s="48"/>
      <c r="J71" s="48"/>
      <c r="K71" s="48"/>
      <c r="L71" s="48"/>
      <c r="M71" s="48"/>
      <c r="N71" s="48"/>
      <c r="O71" s="48"/>
      <c r="P71" s="16"/>
    </row>
    <row r="72" spans="1:16">
      <c r="A72" s="59"/>
      <c r="B72" s="48"/>
      <c r="C72" s="47"/>
      <c r="D72" s="47"/>
      <c r="E72" s="48"/>
      <c r="F72" s="47"/>
      <c r="G72" s="47"/>
      <c r="H72" s="48"/>
      <c r="I72" s="48"/>
      <c r="J72" s="48"/>
      <c r="K72" s="48"/>
      <c r="L72" s="48"/>
      <c r="M72" s="48"/>
      <c r="N72" s="48"/>
      <c r="O72" s="48"/>
      <c r="P72" s="16"/>
    </row>
    <row r="73" spans="1:16">
      <c r="A73" s="60" t="s">
        <v>939</v>
      </c>
      <c r="B73" s="61"/>
      <c r="C73" s="62"/>
      <c r="D73" s="51"/>
      <c r="E73" s="52"/>
      <c r="F73" s="51"/>
      <c r="G73" s="51"/>
      <c r="H73" s="52"/>
      <c r="I73" s="52"/>
      <c r="J73" s="52"/>
      <c r="K73" s="52"/>
      <c r="L73" s="48"/>
      <c r="M73" s="48"/>
      <c r="N73" s="48"/>
      <c r="O73" s="48"/>
      <c r="P73" s="16"/>
    </row>
    <row r="74" spans="1:16">
      <c r="A74" s="63" t="s">
        <v>940</v>
      </c>
      <c r="B74" s="48"/>
      <c r="C74" s="64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16"/>
    </row>
    <row r="75" spans="1:16">
      <c r="A75" s="63" t="s">
        <v>941</v>
      </c>
      <c r="B75" s="48"/>
      <c r="C75" s="64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16"/>
    </row>
    <row r="76" spans="1:16">
      <c r="A76" s="65" t="s">
        <v>942</v>
      </c>
      <c r="B76" s="48"/>
      <c r="C76" s="64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16"/>
    </row>
    <row r="77" spans="1:16">
      <c r="A77" s="65" t="s">
        <v>943</v>
      </c>
      <c r="B77" s="48"/>
      <c r="C77" s="64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16"/>
    </row>
    <row r="78" spans="1:16">
      <c r="A78" s="65" t="s">
        <v>944</v>
      </c>
      <c r="B78" s="48"/>
      <c r="C78" s="64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16"/>
    </row>
    <row r="79" spans="1:16">
      <c r="A79" s="65" t="s">
        <v>945</v>
      </c>
      <c r="B79" s="48"/>
      <c r="C79" s="64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16"/>
    </row>
    <row r="80" spans="1:16">
      <c r="A80" s="66" t="s">
        <v>946</v>
      </c>
      <c r="B80" s="67"/>
      <c r="C80" s="6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16"/>
    </row>
    <row r="81" spans="1:1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spans="1:1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spans="1:1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</row>
    <row r="95" spans="1:1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</row>
    <row r="96" spans="1:1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spans="1:1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</row>
    <row r="98" spans="1:1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spans="1:1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</row>
    <row r="100" spans="1:1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spans="1:1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 spans="1:1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 spans="1:1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</row>
  </sheetData>
  <sheetProtection algorithmName="SHA-512" hashValue="5OsmuaSjTnejoPSIKJGVmifKoYXccKMUds/ZUcViDzXrj1z4LVZPiNJRw8L3gjMgEu2m3rKyofkAgRIje4t0TQ==" saltValue="XMUQGp3ec4KEtRsU0x78Aw==" spinCount="100000" sheet="1" objects="1"/>
  <mergeCells count="12">
    <mergeCell ref="A1:K1"/>
    <mergeCell ref="A2:K2"/>
    <mergeCell ref="A20:E20"/>
    <mergeCell ref="A42:B42"/>
    <mergeCell ref="A49:N49"/>
    <mergeCell ref="A61:C61"/>
    <mergeCell ref="A73:C73"/>
    <mergeCell ref="A4:A6"/>
    <mergeCell ref="A7:A9"/>
    <mergeCell ref="A10:A12"/>
    <mergeCell ref="A13:A15"/>
    <mergeCell ref="A16:A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7"/>
    </sheetView>
  </sheetViews>
  <sheetFormatPr defaultColWidth="9" defaultRowHeight="16.5" outlineLevelRow="6" outlineLevelCol="6"/>
  <cols>
    <col min="1" max="1" width="18" style="1" customWidth="1"/>
    <col min="2" max="2" width="15.5454545454545" style="1" customWidth="1"/>
    <col min="3" max="3" width="9" style="2" customWidth="1"/>
    <col min="4" max="16384" width="9" style="2"/>
  </cols>
  <sheetData>
    <row r="1" ht="29" customHeight="1" spans="1:7">
      <c r="A1" s="3" t="s">
        <v>947</v>
      </c>
      <c r="B1" s="4"/>
      <c r="C1" s="5"/>
      <c r="D1" s="5"/>
      <c r="E1" s="5"/>
      <c r="F1" s="5"/>
      <c r="G1" s="5"/>
    </row>
    <row r="2" spans="1:7">
      <c r="A2" s="6" t="s">
        <v>948</v>
      </c>
      <c r="B2" s="6" t="s">
        <v>165</v>
      </c>
      <c r="C2" s="5"/>
      <c r="D2" s="5"/>
      <c r="E2" s="5"/>
      <c r="F2" s="5"/>
      <c r="G2" s="5"/>
    </row>
    <row r="3" spans="1:7">
      <c r="A3" s="7" t="s">
        <v>949</v>
      </c>
      <c r="B3" s="8">
        <v>0.8</v>
      </c>
      <c r="C3" s="5"/>
      <c r="D3" s="5"/>
      <c r="E3" s="5"/>
      <c r="F3" s="5"/>
      <c r="G3" s="5"/>
    </row>
    <row r="4" spans="1:7">
      <c r="A4" s="7" t="s">
        <v>950</v>
      </c>
      <c r="B4" s="8">
        <v>0.2</v>
      </c>
      <c r="C4" s="5"/>
      <c r="D4" s="5"/>
      <c r="E4" s="5"/>
      <c r="F4" s="5"/>
      <c r="G4" s="5"/>
    </row>
    <row r="5" spans="1:7">
      <c r="A5" s="7" t="s">
        <v>938</v>
      </c>
      <c r="B5" s="8">
        <f>SUM(B3:B4)</f>
        <v>1</v>
      </c>
      <c r="C5" s="5"/>
      <c r="D5" s="5"/>
      <c r="E5" s="5"/>
      <c r="F5" s="5"/>
      <c r="G5" s="5"/>
    </row>
    <row r="6" spans="1:7">
      <c r="A6" s="9"/>
      <c r="B6" s="9"/>
      <c r="C6" s="5"/>
      <c r="D6" s="5"/>
      <c r="E6" s="5"/>
      <c r="F6" s="5"/>
      <c r="G6" s="5"/>
    </row>
    <row r="7" spans="1:7">
      <c r="A7" s="10" t="s">
        <v>951</v>
      </c>
      <c r="B7" s="9"/>
      <c r="C7" s="5"/>
      <c r="D7" s="5"/>
      <c r="E7" s="5"/>
      <c r="F7" s="5"/>
      <c r="G7" s="5"/>
    </row>
  </sheetData>
  <sheetProtection algorithmName="SHA-512" hashValue="LLSXLs+31CbGYqvOsGq7HxfLkicqTU0LuKjyv35eguAdlni/JD1W9fqe0RaBb+riC5HIS+1slHbddW5rQhQbAA==" saltValue="rO6cZxbPiwuVSEta7Ua7Yw==" spinCount="100000" sheet="1" objects="1"/>
  <mergeCells count="1">
    <mergeCell ref="A1:B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" rangeCreator="" othersAccessPermission="edit"/>
    <arrUserId title="区域2" rangeCreator="" othersAccessPermission="edit"/>
    <arrUserId title="区域3" rangeCreator="" othersAccessPermission="edit"/>
    <arrUserId title="区域4" rangeCreator="" othersAccessPermission="edit"/>
  </rangeList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填写说明</vt:lpstr>
      <vt:lpstr>动态诊断表</vt:lpstr>
      <vt:lpstr>数据底稿1</vt:lpstr>
      <vt:lpstr>数据底稿2</vt:lpstr>
      <vt:lpstr>数据底稿3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15222</dc:creator>
  <cp:lastModifiedBy>梦呓</cp:lastModifiedBy>
  <dcterms:created xsi:type="dcterms:W3CDTF">2025-12-02T00:49:00Z</dcterms:created>
  <dcterms:modified xsi:type="dcterms:W3CDTF">2026-07-24T09:44:02Z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E5D951FB55DB42559306006BDD11949D_13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